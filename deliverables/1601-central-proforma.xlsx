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ath A - Micro" sheetId="3" state="visible" r:id="rId5"/>
    <sheet name="Path B - Assemblage" sheetId="4" state="visible" r:id="rId6"/>
    <sheet name="Capital Stack" sheetId="5" state="visible" r:id="rId7"/>
    <sheet name="Waterfall v1" sheetId="6" state="visible" r:id="rId8"/>
    <sheet name="Pre-Dev Budget" sheetId="7" state="visible" r:id="rId9"/>
  </sheets>
  <definedNames>
    <definedName function="false" hidden="false" name="Incent_CommercialCraStatus" vbProcedure="false">Inputs!$G$14</definedName>
    <definedName function="false" hidden="false" name="Incent_NmtcStatus" vbProcedure="false">Inputs!$G$15</definedName>
    <definedName function="false" hidden="false" name="Incent_TifStatus" vbProcedure="false">Inputs!$G$16</definedName>
    <definedName function="false" hidden="false" name="Opt_Option2EquityPct" vbProcedure="false">Inputs!$G$49</definedName>
    <definedName function="false" hidden="false" name="Opt_Option3PrefReturnPct" vbProcedure="false">Inputs!$G$50</definedName>
    <definedName function="false" hidden="false" name="Opt_Option3ResidualPct" vbProcedure="false">Inputs!$G$51</definedName>
    <definedName function="false" hidden="false" name="PathA_Adr" vbProcedure="false">Inputs!$G$25</definedName>
    <definedName function="false" hidden="false" name="PathA_CapRate" vbProcedure="false">Inputs!$G$27</definedName>
    <definedName function="false" hidden="false" name="PathA_ContingencyPct" vbProcedure="false">Inputs!$G$23</definedName>
    <definedName function="false" hidden="false" name="PathA_FfePerKey" vbProcedure="false">Inputs!$G$21</definedName>
    <definedName function="false" hidden="false" name="PathA_Gsf" vbProcedure="false">Inputs!$G$18</definedName>
    <definedName function="false" hidden="false" name="PathA_HardCostPsf" vbProcedure="false">Inputs!$G$19</definedName>
    <definedName function="false" hidden="false" name="PathA_Keys" vbProcedure="false">Inputs!$G$17</definedName>
    <definedName function="false" hidden="false" name="PathA_LandValue" vbProcedure="false">Inputs!$G$22</definedName>
    <definedName function="false" hidden="false" name="PathA_Occupancy" vbProcedure="false">Inputs!$G$24</definedName>
    <definedName function="false" hidden="false" name="PathA_SoftCostPct" vbProcedure="false">Inputs!$G$20</definedName>
    <definedName function="false" hidden="false" name="PathA_StabilizedNoi" vbProcedure="false">Inputs!$G$26</definedName>
    <definedName function="false" hidden="false" name="PathB_Adr" vbProcedure="false">Inputs!$G$36</definedName>
    <definedName function="false" hidden="false" name="PathB_CapRate" vbProcedure="false">Inputs!$G$38</definedName>
    <definedName function="false" hidden="false" name="PathB_ContingencyPct" vbProcedure="false">Inputs!$G$34</definedName>
    <definedName function="false" hidden="false" name="PathB_FfePerKey" vbProcedure="false">Inputs!$G$32</definedName>
    <definedName function="false" hidden="false" name="PathB_Gsf" vbProcedure="false">Inputs!$G$29</definedName>
    <definedName function="false" hidden="false" name="PathB_HardCostPsf" vbProcedure="false">Inputs!$G$30</definedName>
    <definedName function="false" hidden="false" name="PathB_Keys" vbProcedure="false">Inputs!$G$28</definedName>
    <definedName function="false" hidden="false" name="PathB_LandAcquisition" vbProcedure="false">Inputs!$G$33</definedName>
    <definedName function="false" hidden="false" name="PathB_Occupancy" vbProcedure="false">Inputs!$G$35</definedName>
    <definedName function="false" hidden="false" name="PathB_SoftCostPct" vbProcedure="false">Inputs!$G$31</definedName>
    <definedName function="false" hidden="false" name="PathB_StabilizedNoi" vbProcedure="false">Inputs!$G$37</definedName>
    <definedName function="false" hidden="false" name="PathB_StabValue" vbProcedure="false">'Path B - Assemblage'!$C$20</definedName>
    <definedName function="false" hidden="false" name="PathB_TDC" vbProcedure="false">'Path B - Assemblage'!$C$15</definedName>
    <definedName function="false" hidden="false" name="PreDev_TimelineMonths" vbProcedure="false">Inputs!$G$48</definedName>
    <definedName function="false" hidden="false" name="PreDev_TotalPredev" vbProcedure="false">Inputs!$G$47</definedName>
    <definedName function="false" hidden="false" name="Site_AssemblageTargetSf" vbProcedure="false">Inputs!$G$11</definedName>
    <definedName function="false" hidden="false" name="Site_DistressedAdjacentAc" vbProcedure="false">Inputs!$G$10</definedName>
    <definedName function="false" hidden="false" name="Site_MarvinAssessedValue" vbProcedure="false">Inputs!$G$8</definedName>
    <definedName function="false" hidden="false" name="Site_MarvinLandAc" vbProcedure="false">Inputs!$G$7</definedName>
    <definedName function="false" hidden="false" name="Site_MarvinLandSf" vbProcedure="false">Inputs!$G$6</definedName>
    <definedName function="false" hidden="false" name="Site_PublicAdjacentAc" vbProcedure="false">Inputs!$G$9</definedName>
    <definedName function="false" hidden="false" name="Stack_CityGap" vbProcedure="false">Inputs!$G$42</definedName>
    <definedName function="false" hidden="false" name="Stack_HtcEquity" vbProcedure="false">Inputs!$G$41</definedName>
    <definedName function="false" hidden="false" name="Stack_LpEquity" vbProcedure="false">Inputs!$G$46</definedName>
    <definedName function="false" hidden="false" name="Stack_MarvinLandContribution" vbProcedure="false">Inputs!$G$44</definedName>
    <definedName function="false" hidden="false" name="Stack_NmtcEquity" vbProcedure="false">Inputs!$G$40</definedName>
    <definedName function="false" hidden="false" name="Stack_PublicLandContribution" vbProcedure="false">Inputs!$G$43</definedName>
    <definedName function="false" hidden="false" name="Stack_SeniorDebt" vbProcedure="false">Inputs!$G$39</definedName>
    <definedName function="false" hidden="false" name="Stack_SponsorEquity" vbProcedure="false">Inputs!$G$45</definedName>
    <definedName function="false" hidden="false" name="Zoning_HotelEntitlementPath" vbProcedure="false">Inputs!$G$13</definedName>
    <definedName function="false" hidden="false" name="Zoning_ZoningBase" vbProcedure="false">Inputs!$G$12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<sst xmlns="http://schemas.openxmlformats.org/spreadsheetml/2006/main" count="564" uniqueCount="357">
  <si>
    <t xml:space="preserve">1601–1607 Central Ave · Phase Zero Pro Forma Lite</t>
  </si>
  <si>
    <t xml:space="preserve">Directional, range-based, confidence-labeled. Not lender-grade.</t>
  </si>
  <si>
    <t xml:space="preserve">Project</t>
  </si>
  <si>
    <t xml:space="preserve">1601-1607 Central Ave, West End, Cincinnati</t>
  </si>
  <si>
    <t xml:space="preserve">Version</t>
  </si>
  <si>
    <t xml:space="preserve">v1</t>
  </si>
  <si>
    <t xml:space="preserve">As of</t>
  </si>
  <si>
    <t xml:space="preserve">2026-04-14</t>
  </si>
  <si>
    <t xml:space="preserve">Source of truth</t>
  </si>
  <si>
    <t xml:space="preserve">internal/assumptions.json</t>
  </si>
  <si>
    <t xml:space="preserve">Status Legend</t>
  </si>
  <si>
    <t xml:space="preserve">confirmed</t>
  </si>
  <si>
    <t xml:space="preserve">Parcel and ownership facts. Auditor / CAGIS sourced.</t>
  </si>
  <si>
    <t xml:space="preserve">derived</t>
  </si>
  <si>
    <t xml:space="preserve">Calculated from confirmed inputs. Not independently verified.</t>
  </si>
  <si>
    <t xml:space="preserve">indicative</t>
  </si>
  <si>
    <t xml:space="preserve">Industry-standard pricing / economic assumption. Not a quote.</t>
  </si>
  <si>
    <t xml:space="preserve">target</t>
  </si>
  <si>
    <t xml:space="preserve">A design target for the project scope (not a forecast).</t>
  </si>
  <si>
    <t xml:space="preserve">unconfirmed</t>
  </si>
  <si>
    <t xml:space="preserve">Requires outside validation: zoning, incentive, tract eligibility, or similar.</t>
  </si>
  <si>
    <t xml:space="preserve">Principles</t>
  </si>
  <si>
    <t xml:space="preserve">•</t>
  </si>
  <si>
    <t xml:space="preserve">Directional, range-based, labeled by confidence.</t>
  </si>
  <si>
    <t xml:space="preserve">Confirmed = parcel and ownership facts only.</t>
  </si>
  <si>
    <t xml:space="preserve">Modeled/Indicative = economics, pricing, and structure assumptions.</t>
  </si>
  <si>
    <t xml:space="preserve">Unconfirmed = incentives, entitlement, anything requiring outside validation.</t>
  </si>
  <si>
    <t xml:space="preserve">No single-point numbers unless truly fixed.</t>
  </si>
  <si>
    <t xml:space="preserve">Every headline number in the brief must trace back to an input.</t>
  </si>
  <si>
    <t xml:space="preserve">How to use</t>
  </si>
  <si>
    <t xml:space="preserve">All tweakable inputs live on the Inputs tab. Change a value there and every tab recalcs.</t>
  </si>
  <si>
    <t xml:space="preserve">Named ranges follow PathA_*, PathB_*, Stack_*, etc. — visible via Formulas → Name Manager.</t>
  </si>
  <si>
    <t xml:space="preserve">Blue text = hardcoded input (change these). Black = formula. Green = cross-sheet link.</t>
  </si>
  <si>
    <t xml:space="preserve">Yellow-highlighted rows are unconfirmed assumptions requiring diligence.</t>
  </si>
  <si>
    <t xml:space="preserve">The ‘Value Gap’ is TDC minus stabilized value. The ‘Capital Gap’ is TDC minus sum of sources. Keep them separate.</t>
  </si>
  <si>
    <t xml:space="preserve">Waterfall v1 shows directional economics only. IRR is not modeled — add hold period / cash flow timing first.</t>
  </si>
  <si>
    <t xml:space="preserve">Inputs · Single Source of Truth</t>
  </si>
  <si>
    <t xml:space="preserve">One row per assumption. Named ranges point at the Base column.</t>
  </si>
  <si>
    <t xml:space="preserve">Category</t>
  </si>
  <si>
    <t xml:space="preserve">Key (Name)</t>
  </si>
  <si>
    <t xml:space="preserve">Label</t>
  </si>
  <si>
    <t xml:space="preserve">Unit</t>
  </si>
  <si>
    <t xml:space="preserve">Status</t>
  </si>
  <si>
    <t xml:space="preserve">Low</t>
  </si>
  <si>
    <t xml:space="preserve">Base</t>
  </si>
  <si>
    <t xml:space="preserve">High</t>
  </si>
  <si>
    <t xml:space="preserve">Source</t>
  </si>
  <si>
    <t xml:space="preserve">Notes</t>
  </si>
  <si>
    <t xml:space="preserve">site</t>
  </si>
  <si>
    <t xml:space="preserve">site.marvin_land_sf</t>
  </si>
  <si>
    <t xml:space="preserve">Smith Marvin land — total</t>
  </si>
  <si>
    <t xml:space="preserve">sf</t>
  </si>
  <si>
    <t xml:space="preserve">HCAuditor · 3 parcels</t>
  </si>
  <si>
    <t xml:space="preserve">site.marvin_land_ac</t>
  </si>
  <si>
    <t xml:space="preserve">Smith Marvin land — acres</t>
  </si>
  <si>
    <t xml:space="preserve">ac</t>
  </si>
  <si>
    <t xml:space="preserve">site.marvin_assessed_value</t>
  </si>
  <si>
    <t xml:space="preserve">Smith Marvin land — assessed value</t>
  </si>
  <si>
    <t xml:space="preserve">usd</t>
  </si>
  <si>
    <t xml:space="preserve">HCAuditor</t>
  </si>
  <si>
    <t xml:space="preserve">site.public_adjacent_ac</t>
  </si>
  <si>
    <t xml:space="preserve">Public adjacent (City + Land Bank)</t>
  </si>
  <si>
    <t xml:space="preserve">CAGIS</t>
  </si>
  <si>
    <t xml:space="preserve">site.distressed_adjacent_ac</t>
  </si>
  <si>
    <t xml:space="preserve">Distressed adjacent (Medina + SW Ohio)</t>
  </si>
  <si>
    <t xml:space="preserve">site.assemblage_target_sf</t>
  </si>
  <si>
    <t xml:space="preserve">Path B assemblage — target</t>
  </si>
  <si>
    <t xml:space="preserve">Sum of targeted parcels</t>
  </si>
  <si>
    <t xml:space="preserve">zoning</t>
  </si>
  <si>
    <t xml:space="preserve">zoning.zoning_base</t>
  </si>
  <si>
    <t xml:space="preserve">Zoning base</t>
  </si>
  <si>
    <t xml:space="preserve">text</t>
  </si>
  <si>
    <t xml:space="preserve">MG-T</t>
  </si>
  <si>
    <t xml:space="preserve">Manufacturing General — Transect overlay</t>
  </si>
  <si>
    <t xml:space="preserve">zoning.hotel_entitlement_path</t>
  </si>
  <si>
    <t xml:space="preserve">Hotel entitlement path</t>
  </si>
  <si>
    <t xml:space="preserve">Planning confirmation required</t>
  </si>
  <si>
    <t xml:space="preserve">Cincinnati DSD</t>
  </si>
  <si>
    <t xml:space="preserve">CUP vs map amendment TBD</t>
  </si>
  <si>
    <t xml:space="preserve">incentives</t>
  </si>
  <si>
    <t xml:space="preserve">incentives.commercial_cra_status</t>
  </si>
  <si>
    <t xml:space="preserve">Commercial CRA</t>
  </si>
  <si>
    <t xml:space="preserve">Negotiated / unconfirmed</t>
  </si>
  <si>
    <t xml:space="preserve">ChooseCincy — commercial CRAs</t>
  </si>
  <si>
    <t xml:space="preserve">Lift tier is residential; commercial is negotiated</t>
  </si>
  <si>
    <t xml:space="preserve">incentives.nmtc_status</t>
  </si>
  <si>
    <t xml:space="preserve">NMTC eligibility</t>
  </si>
  <si>
    <t xml:space="preserve">Tract + allocation unconfirmed</t>
  </si>
  <si>
    <t xml:space="preserve">CDFI Fund tract lookup</t>
  </si>
  <si>
    <t xml:space="preserve">incentives.tif_status</t>
  </si>
  <si>
    <t xml:space="preserve">TIF status</t>
  </si>
  <si>
    <t xml:space="preserve">Parcel-level check required</t>
  </si>
  <si>
    <t xml:space="preserve">Cincinnati TIF district maps</t>
  </si>
  <si>
    <t xml:space="preserve">path_a</t>
  </si>
  <si>
    <t xml:space="preserve">path_a.keys</t>
  </si>
  <si>
    <t xml:space="preserve">Path A · keys</t>
  </si>
  <si>
    <t xml:space="preserve">rooms</t>
  </si>
  <si>
    <t xml:space="preserve">Capacity from micro-hotel footprint</t>
  </si>
  <si>
    <t xml:space="preserve">path_a.gsf</t>
  </si>
  <si>
    <t xml:space="preserve">Path A · gross sf</t>
  </si>
  <si>
    <t xml:space="preserve">gsf</t>
  </si>
  <si>
    <t xml:space="preserve">6 floors × ~4k plate</t>
  </si>
  <si>
    <t xml:space="preserve">path_a.hard_cost_psf</t>
  </si>
  <si>
    <t xml:space="preserve">Path A · hard cost per sf</t>
  </si>
  <si>
    <t xml:space="preserve">usd_per_gsf</t>
  </si>
  <si>
    <t xml:space="preserve">RSMeans Cincinnati 2026 Type III</t>
  </si>
  <si>
    <t xml:space="preserve">path_a.soft_cost_pct</t>
  </si>
  <si>
    <t xml:space="preserve">Path A · soft cost %</t>
  </si>
  <si>
    <t xml:space="preserve">pct</t>
  </si>
  <si>
    <t xml:space="preserve">Industry</t>
  </si>
  <si>
    <t xml:space="preserve">A/E, legal, financing, permits</t>
  </si>
  <si>
    <t xml:space="preserve">path_a.ffe_per_key</t>
  </si>
  <si>
    <t xml:space="preserve">Path A · FF&amp;E per key</t>
  </si>
  <si>
    <t xml:space="preserve">usd_per_key</t>
  </si>
  <si>
    <t xml:space="preserve">Micro-hotel spec</t>
  </si>
  <si>
    <t xml:space="preserve">path_a.land_value</t>
  </si>
  <si>
    <t xml:space="preserve">Path A · land value</t>
  </si>
  <si>
    <t xml:space="preserve">6010 sf at corner premium</t>
  </si>
  <si>
    <t xml:space="preserve">Appraisal required</t>
  </si>
  <si>
    <t xml:space="preserve">path_a.contingency_pct</t>
  </si>
  <si>
    <t xml:space="preserve">Path A · contingency %</t>
  </si>
  <si>
    <t xml:space="preserve">Industry standard</t>
  </si>
  <si>
    <t xml:space="preserve">path_a.occupancy</t>
  </si>
  <si>
    <t xml:space="preserve">Path A · occupancy (stab.)</t>
  </si>
  <si>
    <t xml:space="preserve">Micro-hotel stabilized y3</t>
  </si>
  <si>
    <t xml:space="preserve">path_a.adr</t>
  </si>
  <si>
    <t xml:space="preserve">Path A · ADR</t>
  </si>
  <si>
    <t xml:space="preserve">West End comp read</t>
  </si>
  <si>
    <t xml:space="preserve">STR market study required</t>
  </si>
  <si>
    <t xml:space="preserve">path_a.stabilized_noi</t>
  </si>
  <si>
    <t xml:space="preserve">Path A · stabilized NOI</t>
  </si>
  <si>
    <t xml:space="preserve">Top-down sanity check</t>
  </si>
  <si>
    <t xml:space="preserve">Not derived from ADR×occ in v1</t>
  </si>
  <si>
    <t xml:space="preserve">path_a.cap_rate</t>
  </si>
  <si>
    <t xml:space="preserve">Path A · exit cap rate</t>
  </si>
  <si>
    <t xml:space="preserve">Cincinnati select-service boutique</t>
  </si>
  <si>
    <t xml:space="preserve">path_b</t>
  </si>
  <si>
    <t xml:space="preserve">path_b.keys</t>
  </si>
  <si>
    <t xml:space="preserve">Path B · keys</t>
  </si>
  <si>
    <t xml:space="preserve">Assemblage scale</t>
  </si>
  <si>
    <t xml:space="preserve">path_b.gsf</t>
  </si>
  <si>
    <t xml:space="preserve">Path B · gross sf</t>
  </si>
  <si>
    <t xml:space="preserve">8 floors × ~8k plate</t>
  </si>
  <si>
    <t xml:space="preserve">path_b.hard_cost_psf</t>
  </si>
  <si>
    <t xml:space="preserve">Path B · hard cost per sf</t>
  </si>
  <si>
    <t xml:space="preserve">RSMeans Cincinnati 2026</t>
  </si>
  <si>
    <t xml:space="preserve">Could flex to Type I if &gt;6 stories</t>
  </si>
  <si>
    <t xml:space="preserve">path_b.soft_cost_pct</t>
  </si>
  <si>
    <t xml:space="preserve">Path B · soft cost %</t>
  </si>
  <si>
    <t xml:space="preserve">path_b.ffe_per_key</t>
  </si>
  <si>
    <t xml:space="preserve">Path B · FF&amp;E per key</t>
  </si>
  <si>
    <t xml:space="preserve">Boutique tier</t>
  </si>
  <si>
    <t xml:space="preserve">path_b.land_acquisition</t>
  </si>
  <si>
    <t xml:space="preserve">Path B · land acquisition</t>
  </si>
  <si>
    <t xml:space="preserve">All parcels incl. Marvin</t>
  </si>
  <si>
    <t xml:space="preserve">Public land nominal; Medina distressed</t>
  </si>
  <si>
    <t xml:space="preserve">path_b.contingency_pct</t>
  </si>
  <si>
    <t xml:space="preserve">Path B · contingency %</t>
  </si>
  <si>
    <t xml:space="preserve">path_b.occupancy</t>
  </si>
  <si>
    <t xml:space="preserve">Path B · occupancy (stab.)</t>
  </si>
  <si>
    <t xml:space="preserve">Boutique stabilized y3</t>
  </si>
  <si>
    <t xml:space="preserve">path_b.adr</t>
  </si>
  <si>
    <t xml:space="preserve">Path B · ADR</t>
  </si>
  <si>
    <t xml:space="preserve">Soft-brand boutique</t>
  </si>
  <si>
    <t xml:space="preserve">STR study required</t>
  </si>
  <si>
    <t xml:space="preserve">path_b.stabilized_noi</t>
  </si>
  <si>
    <t xml:space="preserve">Path B · stabilized NOI</t>
  </si>
  <si>
    <t xml:space="preserve">path_b.cap_rate</t>
  </si>
  <si>
    <t xml:space="preserve">Path B · exit cap rate</t>
  </si>
  <si>
    <t xml:space="preserve">Cincinnati boutique</t>
  </si>
  <si>
    <t xml:space="preserve">stack</t>
  </si>
  <si>
    <t xml:space="preserve">stack.senior_debt</t>
  </si>
  <si>
    <t xml:space="preserve">Senior construction debt</t>
  </si>
  <si>
    <t xml:space="preserve">55% LTC · CRA-motivated lender</t>
  </si>
  <si>
    <t xml:space="preserve">stack.nmtc_equity</t>
  </si>
  <si>
    <t xml:space="preserve">NMTC equity</t>
  </si>
  <si>
    <t xml:space="preserve">Via CDE allocation</t>
  </si>
  <si>
    <t xml:space="preserve">Only if tract + allocation confirmed</t>
  </si>
  <si>
    <t xml:space="preserve">stack.htc_equity</t>
  </si>
  <si>
    <t xml:space="preserve">Historic Tax Credit equity</t>
  </si>
  <si>
    <t xml:space="preserve">Ohio HTC</t>
  </si>
  <si>
    <t xml:space="preserve">Only if preserving structure</t>
  </si>
  <si>
    <t xml:space="preserve">stack.city_gap</t>
  </si>
  <si>
    <t xml:space="preserve">City of Cincinnati gap</t>
  </si>
  <si>
    <t xml:space="preserve">DSD commercial gap fund</t>
  </si>
  <si>
    <t xml:space="preserve">Negotiated</t>
  </si>
  <si>
    <t xml:space="preserve">stack.public_land_contribution</t>
  </si>
  <si>
    <t xml:space="preserve">Public land (implied)</t>
  </si>
  <si>
    <t xml:space="preserve">City + Land Bank at nominal</t>
  </si>
  <si>
    <t xml:space="preserve">Negotiated disposition</t>
  </si>
  <si>
    <t xml:space="preserve">stack.marvin_land_contribution</t>
  </si>
  <si>
    <t xml:space="preserve">Marvin land (implied)</t>
  </si>
  <si>
    <t xml:space="preserve">Appraised FMV</t>
  </si>
  <si>
    <t xml:space="preserve">Sale or contribution</t>
  </si>
  <si>
    <t xml:space="preserve">stack.sponsor_equity</t>
  </si>
  <si>
    <t xml:space="preserve">Sponsor (GP) equity</t>
  </si>
  <si>
    <t xml:space="preserve">Developer skin in the game</t>
  </si>
  <si>
    <t xml:space="preserve">stack.lp_equity</t>
  </si>
  <si>
    <t xml:space="preserve">LP equity (passive)</t>
  </si>
  <si>
    <t xml:space="preserve">Local HNW check-writers</t>
  </si>
  <si>
    <t xml:space="preserve">predev</t>
  </si>
  <si>
    <t xml:space="preserve">predev.total_predev</t>
  </si>
  <si>
    <t xml:space="preserve">Total pre-development spend</t>
  </si>
  <si>
    <t xml:space="preserve">Line items across 15–18 mo</t>
  </si>
  <si>
    <t xml:space="preserve">predev.timeline_months</t>
  </si>
  <si>
    <t xml:space="preserve">Pre-development timeline</t>
  </si>
  <si>
    <t xml:space="preserve">months</t>
  </si>
  <si>
    <t xml:space="preserve">From option to close</t>
  </si>
  <si>
    <t xml:space="preserve">options</t>
  </si>
  <si>
    <t xml:space="preserve">options.option2_equity_pct</t>
  </si>
  <si>
    <t xml:space="preserve">Opt II — equity share to Marvin</t>
  </si>
  <si>
    <t xml:space="preserve">modeled</t>
  </si>
  <si>
    <t xml:space="preserve">Land contribution / total equity</t>
  </si>
  <si>
    <t xml:space="preserve">Pari-passu</t>
  </si>
  <si>
    <t xml:space="preserve">options.option3_pref_return_pct</t>
  </si>
  <si>
    <t xml:space="preserve">Opt III — preferred return rate</t>
  </si>
  <si>
    <t xml:space="preserve">Common market pref</t>
  </si>
  <si>
    <t xml:space="preserve">options.option3_residual_pct</t>
  </si>
  <si>
    <t xml:space="preserve">Opt III — residual equity share</t>
  </si>
  <si>
    <t xml:space="preserve">Back-end participation</t>
  </si>
  <si>
    <t xml:space="preserve">Path A · Micro-Hotel on Marvin's Land</t>
  </si>
  <si>
    <t xml:space="preserve">24–28 keys · Type III wood over podium · Ollie's on ground floor</t>
  </si>
  <si>
    <t xml:space="preserve">Line</t>
  </si>
  <si>
    <t xml:space="preserve">Formula</t>
  </si>
  <si>
    <t xml:space="preserve">Value</t>
  </si>
  <si>
    <t xml:space="preserve">Keys</t>
  </si>
  <si>
    <t xml:space="preserve">PathA_Keys</t>
  </si>
  <si>
    <t xml:space="preserve">GSF</t>
  </si>
  <si>
    <t xml:space="preserve">PathA_Gsf</t>
  </si>
  <si>
    <t xml:space="preserve">Hard cost / sf</t>
  </si>
  <si>
    <t xml:space="preserve">PathA_HardCostPsf</t>
  </si>
  <si>
    <t xml:space="preserve">Hard cost</t>
  </si>
  <si>
    <t xml:space="preserve">GSF × $/sf</t>
  </si>
  <si>
    <t xml:space="preserve">Soft cost</t>
  </si>
  <si>
    <t xml:space="preserve">Hard × soft %</t>
  </si>
  <si>
    <t xml:space="preserve">FF&amp;E</t>
  </si>
  <si>
    <t xml:space="preserve">Keys × $/key</t>
  </si>
  <si>
    <t xml:space="preserve">Land value</t>
  </si>
  <si>
    <t xml:space="preserve">Marvin parcels FMV</t>
  </si>
  <si>
    <t xml:space="preserve">Contingency</t>
  </si>
  <si>
    <t xml:space="preserve">10% of subtotal</t>
  </si>
  <si>
    <t xml:space="preserve">Total Development Cost (TDC)</t>
  </si>
  <si>
    <t xml:space="preserve">Sum</t>
  </si>
  <si>
    <t xml:space="preserve">Stabilized NOI</t>
  </si>
  <si>
    <t xml:space="preserve">Top-down assumption</t>
  </si>
  <si>
    <t xml:space="preserve">Yield on Cost</t>
  </si>
  <si>
    <t xml:space="preserve">NOI / TDC</t>
  </si>
  <si>
    <t xml:space="preserve">Exit Cap Rate</t>
  </si>
  <si>
    <t xml:space="preserve">Market read</t>
  </si>
  <si>
    <t xml:space="preserve">Stabilized Value</t>
  </si>
  <si>
    <t xml:space="preserve">NOI / Cap</t>
  </si>
  <si>
    <t xml:space="preserve">Value Gap</t>
  </si>
  <si>
    <t xml:space="preserve">TDC − Value (positive = underwater)</t>
  </si>
  <si>
    <t xml:space="preserve">Revenue sanity check (informational)</t>
  </si>
  <si>
    <t xml:space="preserve">ADR</t>
  </si>
  <si>
    <t xml:space="preserve">Avg Daily Rate</t>
  </si>
  <si>
    <t xml:space="preserve">Occupancy</t>
  </si>
  <si>
    <t xml:space="preserve">Stabilized</t>
  </si>
  <si>
    <t xml:space="preserve">Implied room rev</t>
  </si>
  <si>
    <t xml:space="preserve">Keys × 365 × Occ × ADR</t>
  </si>
  <si>
    <t xml:space="preserve">Path B · Assemblage Play</t>
  </si>
  <si>
    <t xml:space="preserve">60–80 keys · matches the flyer's rendering · requires adjacent parcels</t>
  </si>
  <si>
    <t xml:space="preserve">PathB_Keys</t>
  </si>
  <si>
    <t xml:space="preserve">PathB_Gsf</t>
  </si>
  <si>
    <t xml:space="preserve">PathB_HardCostPsf</t>
  </si>
  <si>
    <t xml:space="preserve">Land acquisition</t>
  </si>
  <si>
    <t xml:space="preserve">TDC − Value</t>
  </si>
  <si>
    <t xml:space="preserve">Capital Stack · Path B Sources &amp; Uses</t>
  </si>
  <si>
    <t xml:space="preserve">Sources (base case) vs. Path B TDC · gap = unfunded</t>
  </si>
  <si>
    <t xml:space="preserve">Amount</t>
  </si>
  <si>
    <t xml:space="preserve">55% LTC · CRA-motivated bank</t>
  </si>
  <si>
    <t xml:space="preserve">Public land contribution</t>
  </si>
  <si>
    <t xml:space="preserve">Marvin land contribution</t>
  </si>
  <si>
    <t xml:space="preserve">Sale or equity contribution</t>
  </si>
  <si>
    <t xml:space="preserve">Total Sources</t>
  </si>
  <si>
    <t xml:space="preserve">Path B TDC (uses)</t>
  </si>
  <si>
    <t xml:space="preserve">from Path B tab</t>
  </si>
  <si>
    <t xml:space="preserve">Capital Gap (TDC − Sources)</t>
  </si>
  <si>
    <t xml:space="preserve">Positive = unfunded · close with subsidy or structure</t>
  </si>
  <si>
    <t xml:space="preserve">Note: Capital Gap and Value Gap are different. Value Gap = TDC − Stabilized Value (from Path B tab).</t>
  </si>
  <si>
    <t xml:space="preserve">Waterfall · Marvin's Three Equity Options (v1)</t>
  </si>
  <si>
    <t xml:space="preserve">Directional only. IRR not modeled — requires hold period, cash flow timing, sale costs.</t>
  </si>
  <si>
    <t xml:space="preserve">Shared inputs</t>
  </si>
  <si>
    <t xml:space="preserve">Stabilized Value (Path B)</t>
  </si>
  <si>
    <t xml:space="preserve">Less: senior debt payoff</t>
  </si>
  <si>
    <t xml:space="preserve">Less: sale costs (3%)</t>
  </si>
  <si>
    <t xml:space="preserve">Net sale proceeds to equity</t>
  </si>
  <si>
    <t xml:space="preserve">Option I · Land Sale + Anchor Tenant</t>
  </si>
  <si>
    <t xml:space="preserve">Cash at closing (land sale)</t>
  </si>
  <si>
    <t xml:space="preserve">Back-end equity participation</t>
  </si>
  <si>
    <t xml:space="preserve">+ Below-market restaurant lease (separate P&amp;L)</t>
  </si>
  <si>
    <t xml:space="preserve">Option II · Land as Equity (recommended)</t>
  </si>
  <si>
    <t xml:space="preserve">Land contribution</t>
  </si>
  <si>
    <t xml:space="preserve">Equity share (pari-passu)</t>
  </si>
  <si>
    <t xml:space="preserve">Back-end value at sale</t>
  </si>
  <si>
    <t xml:space="preserve">Option III · Preferred Equity + Residual</t>
  </si>
  <si>
    <t xml:space="preserve">Land contribution (pref basis)</t>
  </si>
  <si>
    <t xml:space="preserve">Pref return rate</t>
  </si>
  <si>
    <t xml:space="preserve">Annual preferred ($)</t>
  </si>
  <si>
    <t xml:space="preserve">Residual equity share</t>
  </si>
  <si>
    <t xml:space="preserve">Back-end residual at sale</t>
  </si>
  <si>
    <t xml:space="preserve">Upside Case · Path B at better assumptions + 7-yr hold</t>
  </si>
  <si>
    <t xml:space="preserve">Shows where Option II materially outruns Option I. Uses NOI uplift, cap rate compression, and a holding period with NOI growth.</t>
  </si>
  <si>
    <t xml:space="preserve">NOI uplift vs. base (higher ADR + occ)</t>
  </si>
  <si>
    <t xml:space="preserve">Cap rate compression (bps)</t>
  </si>
  <si>
    <t xml:space="preserve">Hold period (years)</t>
  </si>
  <si>
    <t xml:space="preserve">Annual NOI growth (held period)</t>
  </si>
  <si>
    <t xml:space="preserve">Upside stabilized NOI (Yr 1)</t>
  </si>
  <si>
    <t xml:space="preserve">Upside exit cap rate</t>
  </si>
  <si>
    <t xml:space="preserve">Year-N NOI (grown)</t>
  </si>
  <si>
    <t xml:space="preserve">Year-N sale value</t>
  </si>
  <si>
    <t xml:space="preserve">Less: senior debt payoff (assumes unchanged)</t>
  </si>
  <si>
    <t xml:space="preserve">Net sale proceeds to equity (upside)</t>
  </si>
  <si>
    <t xml:space="preserve">Marvin — Option II (upside)</t>
  </si>
  <si>
    <t xml:space="preserve">Marvin — Option III residual (upside)</t>
  </si>
  <si>
    <t xml:space="preserve">Option III cumulative pref (hold period)</t>
  </si>
  <si>
    <t xml:space="preserve">Option III total (pref + residual)</t>
  </si>
  <si>
    <t xml:space="preserve">Comparison · Marvin's payout</t>
  </si>
  <si>
    <t xml:space="preserve">Scenario</t>
  </si>
  <si>
    <t xml:space="preserve">Timing</t>
  </si>
  <si>
    <t xml:space="preserve">Option I (land sale, base case)</t>
  </si>
  <si>
    <t xml:space="preserve">At closing (Yr 0)</t>
  </si>
  <si>
    <t xml:space="preserve">Option II (11% equity, base case)</t>
  </si>
  <si>
    <t xml:space="preserve">At sale (Yr ~5)</t>
  </si>
  <si>
    <t xml:space="preserve">Option II (11% equity, upside case)</t>
  </si>
  <si>
    <t xml:space="preserve">At sale (Yr 7)</t>
  </si>
  <si>
    <t xml:space="preserve">Option III (pref + residual, upside)</t>
  </si>
  <si>
    <t xml:space="preserve">Over 7 years + sale</t>
  </si>
  <si>
    <t xml:space="preserve">Caveats</t>
  </si>
  <si>
    <t xml:space="preserve">Option I cash is at Yr 0; Option II/III are Yr 5–7. Not time-normalized — no discount rate or IRR applied.</t>
  </si>
  <si>
    <t xml:space="preserve">Upside case assumes the project appreciates past TDC. At base-case assumptions it does not.</t>
  </si>
  <si>
    <t xml:space="preserve">IRR not modeled. Requires annual cash flow timing, refinance proceeds, and distribution priority.</t>
  </si>
  <si>
    <t xml:space="preserve">Debt payoff held flat in upside. In practice, amortization + refi proceeds could change equity distributions.</t>
  </si>
  <si>
    <t xml:space="preserve">Sale costs held at 3% of gross; transfer tax, broker, legal may be higher.</t>
  </si>
  <si>
    <t xml:space="preserve">Commercial CRA abatement not yet modeled in NOI uplift — if granted, this is another upside lever.</t>
  </si>
  <si>
    <t xml:space="preserve">Pre-Development Budget</t>
  </si>
  <si>
    <t xml:space="preserve">15–18 months of at-risk spend before construction loan funds</t>
  </si>
  <si>
    <t xml:space="preserve">Activity</t>
  </si>
  <si>
    <t xml:space="preserve">Timing (month)</t>
  </si>
  <si>
    <t xml:space="preserve">Land options &amp; earnest deposits</t>
  </si>
  <si>
    <t xml:space="preserve">1–3</t>
  </si>
  <si>
    <t xml:space="preserve">Environmental Phase I + II</t>
  </si>
  <si>
    <t xml:space="preserve">2–4</t>
  </si>
  <si>
    <t xml:space="preserve">Concept architecture + site planning</t>
  </si>
  <si>
    <t xml:space="preserve">3–8</t>
  </si>
  <si>
    <t xml:space="preserve">Zoning / CUP / rezoning legal &amp; filings</t>
  </si>
  <si>
    <t xml:space="preserve">4–12</t>
  </si>
  <si>
    <t xml:space="preserve">Civil engineering / survey</t>
  </si>
  <si>
    <t xml:space="preserve">4–9</t>
  </si>
  <si>
    <t xml:space="preserve">Hotel market study + operator interest memo</t>
  </si>
  <si>
    <t xml:space="preserve">2–5</t>
  </si>
  <si>
    <t xml:space="preserve">Capital stack structuring (NMTC, CRA, HTC legal)</t>
  </si>
  <si>
    <t xml:space="preserve">6–15</t>
  </si>
  <si>
    <t xml:space="preserve">Project management + carrying costs</t>
  </si>
  <si>
    <t xml:space="preserve">ongoing</t>
  </si>
  <si>
    <t xml:space="preserve">Total Pre-Development</t>
  </si>
  <si>
    <t xml:space="preserve">Timeline (months)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</si>
</sst>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22A"/>
      <name val="Arial"/>
      <family val="0"/>
      <charset val="1"/>
    </font>
    <font>
      <i val="true"/>
      <sz val="11"/>
      <color rgb="FF6B645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6458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322A"/>
        <bgColor rgb="FF003300"/>
      </patternFill>
    </fill>
    <fill>
      <patternFill patternType="solid">
        <fgColor rgb="FFD4CDB8"/>
        <bgColor rgb="FFBEB7A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EB7A5"/>
      </left>
      <right style="thin">
        <color rgb="FFBEB7A5"/>
      </right>
      <top style="thin">
        <color rgb="FFBEB7A5"/>
      </top>
      <bottom style="thin">
        <color rgb="FFBEB7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7A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CDB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32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10" customFormat="false" ht="17.35" hidden="false" customHeight="false" outlineLevel="0" collapsed="false">
      <c r="A10" s="1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3" t="s">
        <v>15</v>
      </c>
      <c r="B13" s="4" t="s">
        <v>16</v>
      </c>
    </row>
    <row r="14" customFormat="false" ht="1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5" t="s">
        <v>19</v>
      </c>
      <c r="B15" s="4" t="s">
        <v>20</v>
      </c>
    </row>
    <row r="17" customFormat="false" ht="17.35" hidden="false" customHeight="false" outlineLevel="0" collapsed="false">
      <c r="A17" s="1" t="s">
        <v>21</v>
      </c>
    </row>
    <row r="18" customFormat="false" ht="15" hidden="false" customHeight="false" outlineLevel="0" collapsed="false">
      <c r="A18" s="4" t="s">
        <v>22</v>
      </c>
      <c r="B18" s="4" t="s">
        <v>23</v>
      </c>
    </row>
    <row r="19" customFormat="false" ht="15" hidden="false" customHeight="false" outlineLevel="0" collapsed="false">
      <c r="A19" s="4" t="s">
        <v>22</v>
      </c>
      <c r="B19" s="4" t="s">
        <v>24</v>
      </c>
    </row>
    <row r="20" customFormat="false" ht="15" hidden="false" customHeight="false" outlineLevel="0" collapsed="false">
      <c r="A20" s="4" t="s">
        <v>22</v>
      </c>
      <c r="B20" s="4" t="s">
        <v>25</v>
      </c>
    </row>
    <row r="21" customFormat="false" ht="15" hidden="false" customHeight="false" outlineLevel="0" collapsed="false">
      <c r="A21" s="4" t="s">
        <v>22</v>
      </c>
      <c r="B21" s="4" t="s">
        <v>26</v>
      </c>
    </row>
    <row r="22" customFormat="false" ht="15" hidden="false" customHeight="false" outlineLevel="0" collapsed="false">
      <c r="A22" s="4" t="s">
        <v>22</v>
      </c>
      <c r="B22" s="4" t="s">
        <v>27</v>
      </c>
    </row>
    <row r="23" customFormat="false" ht="15" hidden="false" customHeight="false" outlineLevel="0" collapsed="false">
      <c r="A23" s="4" t="s">
        <v>22</v>
      </c>
      <c r="B23" s="4" t="s">
        <v>28</v>
      </c>
    </row>
    <row r="25" customFormat="false" ht="17.35" hidden="false" customHeight="false" outlineLevel="0" collapsed="false">
      <c r="A25" s="1" t="s">
        <v>29</v>
      </c>
    </row>
    <row r="26" customFormat="false" ht="15" hidden="false" customHeight="false" outlineLevel="0" collapsed="false">
      <c r="A26" s="4" t="s">
        <v>22</v>
      </c>
      <c r="B26" s="4" t="s">
        <v>30</v>
      </c>
    </row>
    <row r="27" customFormat="false" ht="15" hidden="false" customHeight="false" outlineLevel="0" collapsed="false">
      <c r="A27" s="4" t="s">
        <v>22</v>
      </c>
      <c r="B27" s="4" t="s">
        <v>31</v>
      </c>
    </row>
    <row r="28" customFormat="false" ht="15" hidden="false" customHeight="false" outlineLevel="0" collapsed="false">
      <c r="A28" s="4" t="s">
        <v>22</v>
      </c>
      <c r="B28" s="4" t="s">
        <v>32</v>
      </c>
    </row>
    <row r="29" customFormat="false" ht="15" hidden="false" customHeight="false" outlineLevel="0" collapsed="false">
      <c r="A29" s="4" t="s">
        <v>22</v>
      </c>
      <c r="B29" s="4" t="s">
        <v>33</v>
      </c>
    </row>
    <row r="30" customFormat="false" ht="15" hidden="false" customHeight="false" outlineLevel="0" collapsed="false">
      <c r="A30" s="4" t="s">
        <v>22</v>
      </c>
      <c r="B30" s="4" t="s">
        <v>34</v>
      </c>
    </row>
    <row r="31" customFormat="false" ht="15" hidden="false" customHeight="false" outlineLevel="0" collapsed="false">
      <c r="A31" s="4" t="s">
        <v>22</v>
      </c>
      <c r="B31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8" min="4" style="0" width="14"/>
    <col collapsed="false" customWidth="true" hidden="false" outlineLevel="0" max="9" min="9" style="0" width="36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</row>
    <row r="6" customFormat="false" ht="15" hidden="false" customHeight="false" outlineLevel="0" collapsed="false">
      <c r="A6" s="4" t="s">
        <v>48</v>
      </c>
      <c r="B6" s="3" t="s">
        <v>49</v>
      </c>
      <c r="C6" s="4" t="s">
        <v>50</v>
      </c>
      <c r="D6" s="4" t="s">
        <v>51</v>
      </c>
      <c r="E6" s="4" t="s">
        <v>11</v>
      </c>
      <c r="F6" s="7"/>
      <c r="G6" s="8" t="n">
        <v>6010</v>
      </c>
      <c r="H6" s="7"/>
      <c r="I6" s="9" t="s">
        <v>52</v>
      </c>
      <c r="J6" s="9"/>
    </row>
    <row r="7" customFormat="false" ht="15" hidden="false" customHeight="false" outlineLevel="0" collapsed="false">
      <c r="A7" s="4" t="s">
        <v>48</v>
      </c>
      <c r="B7" s="3" t="s">
        <v>53</v>
      </c>
      <c r="C7" s="4" t="s">
        <v>54</v>
      </c>
      <c r="D7" s="4" t="s">
        <v>55</v>
      </c>
      <c r="E7" s="4" t="s">
        <v>11</v>
      </c>
      <c r="F7" s="7"/>
      <c r="G7" s="8" t="n">
        <v>0.138</v>
      </c>
      <c r="H7" s="7"/>
      <c r="I7" s="9" t="s">
        <v>52</v>
      </c>
      <c r="J7" s="9"/>
    </row>
    <row r="8" customFormat="false" ht="15" hidden="false" customHeight="false" outlineLevel="0" collapsed="false">
      <c r="A8" s="4" t="s">
        <v>48</v>
      </c>
      <c r="B8" s="3" t="s">
        <v>56</v>
      </c>
      <c r="C8" s="4" t="s">
        <v>57</v>
      </c>
      <c r="D8" s="4" t="s">
        <v>58</v>
      </c>
      <c r="E8" s="4" t="s">
        <v>11</v>
      </c>
      <c r="F8" s="10"/>
      <c r="G8" s="11" t="n">
        <v>31640</v>
      </c>
      <c r="H8" s="10"/>
      <c r="I8" s="9" t="s">
        <v>59</v>
      </c>
      <c r="J8" s="9"/>
    </row>
    <row r="9" customFormat="false" ht="15" hidden="false" customHeight="false" outlineLevel="0" collapsed="false">
      <c r="A9" s="4" t="s">
        <v>48</v>
      </c>
      <c r="B9" s="3" t="s">
        <v>60</v>
      </c>
      <c r="C9" s="4" t="s">
        <v>61</v>
      </c>
      <c r="D9" s="4" t="s">
        <v>55</v>
      </c>
      <c r="E9" s="4" t="s">
        <v>11</v>
      </c>
      <c r="F9" s="7"/>
      <c r="G9" s="8" t="n">
        <v>0.302</v>
      </c>
      <c r="H9" s="7"/>
      <c r="I9" s="9" t="s">
        <v>62</v>
      </c>
      <c r="J9" s="9"/>
    </row>
    <row r="10" customFormat="false" ht="15" hidden="false" customHeight="false" outlineLevel="0" collapsed="false">
      <c r="A10" s="4" t="s">
        <v>48</v>
      </c>
      <c r="B10" s="3" t="s">
        <v>63</v>
      </c>
      <c r="C10" s="4" t="s">
        <v>64</v>
      </c>
      <c r="D10" s="4" t="s">
        <v>55</v>
      </c>
      <c r="E10" s="4" t="s">
        <v>11</v>
      </c>
      <c r="F10" s="7"/>
      <c r="G10" s="8" t="n">
        <v>0.258</v>
      </c>
      <c r="H10" s="7"/>
      <c r="I10" s="9" t="s">
        <v>62</v>
      </c>
      <c r="J10" s="9"/>
    </row>
    <row r="11" customFormat="false" ht="15" hidden="false" customHeight="false" outlineLevel="0" collapsed="false">
      <c r="A11" s="4" t="s">
        <v>48</v>
      </c>
      <c r="B11" s="3" t="s">
        <v>65</v>
      </c>
      <c r="C11" s="4" t="s">
        <v>66</v>
      </c>
      <c r="D11" s="4" t="s">
        <v>51</v>
      </c>
      <c r="E11" s="4" t="s">
        <v>13</v>
      </c>
      <c r="F11" s="7"/>
      <c r="G11" s="8" t="n">
        <v>30400</v>
      </c>
      <c r="H11" s="7"/>
      <c r="I11" s="9" t="s">
        <v>67</v>
      </c>
      <c r="J11" s="9"/>
    </row>
    <row r="12" customFormat="false" ht="15" hidden="false" customHeight="false" outlineLevel="0" collapsed="false">
      <c r="A12" s="4" t="s">
        <v>68</v>
      </c>
      <c r="B12" s="3" t="s">
        <v>69</v>
      </c>
      <c r="C12" s="4" t="s">
        <v>70</v>
      </c>
      <c r="D12" s="4" t="s">
        <v>71</v>
      </c>
      <c r="E12" s="4" t="s">
        <v>11</v>
      </c>
      <c r="F12" s="12"/>
      <c r="G12" s="13" t="s">
        <v>72</v>
      </c>
      <c r="H12" s="12"/>
      <c r="I12" s="9" t="s">
        <v>62</v>
      </c>
      <c r="J12" s="9" t="s">
        <v>73</v>
      </c>
    </row>
    <row r="13" customFormat="false" ht="15" hidden="false" customHeight="false" outlineLevel="0" collapsed="false">
      <c r="A13" s="4" t="s">
        <v>68</v>
      </c>
      <c r="B13" s="3" t="s">
        <v>74</v>
      </c>
      <c r="C13" s="4" t="s">
        <v>75</v>
      </c>
      <c r="D13" s="4" t="s">
        <v>71</v>
      </c>
      <c r="E13" s="5" t="s">
        <v>19</v>
      </c>
      <c r="F13" s="12"/>
      <c r="G13" s="13" t="s">
        <v>76</v>
      </c>
      <c r="H13" s="12"/>
      <c r="I13" s="9" t="s">
        <v>77</v>
      </c>
      <c r="J13" s="9" t="s">
        <v>78</v>
      </c>
    </row>
    <row r="14" customFormat="false" ht="15" hidden="false" customHeight="false" outlineLevel="0" collapsed="false">
      <c r="A14" s="4" t="s">
        <v>79</v>
      </c>
      <c r="B14" s="3" t="s">
        <v>80</v>
      </c>
      <c r="C14" s="4" t="s">
        <v>81</v>
      </c>
      <c r="D14" s="4" t="s">
        <v>71</v>
      </c>
      <c r="E14" s="5" t="s">
        <v>19</v>
      </c>
      <c r="F14" s="12"/>
      <c r="G14" s="13" t="s">
        <v>82</v>
      </c>
      <c r="H14" s="12"/>
      <c r="I14" s="9" t="s">
        <v>83</v>
      </c>
      <c r="J14" s="9" t="s">
        <v>84</v>
      </c>
    </row>
    <row r="15" customFormat="false" ht="15" hidden="false" customHeight="false" outlineLevel="0" collapsed="false">
      <c r="A15" s="4" t="s">
        <v>79</v>
      </c>
      <c r="B15" s="3" t="s">
        <v>85</v>
      </c>
      <c r="C15" s="4" t="s">
        <v>86</v>
      </c>
      <c r="D15" s="4" t="s">
        <v>71</v>
      </c>
      <c r="E15" s="5" t="s">
        <v>19</v>
      </c>
      <c r="F15" s="12"/>
      <c r="G15" s="13" t="s">
        <v>87</v>
      </c>
      <c r="H15" s="12"/>
      <c r="I15" s="9" t="s">
        <v>88</v>
      </c>
      <c r="J15" s="9"/>
    </row>
    <row r="16" customFormat="false" ht="15" hidden="false" customHeight="false" outlineLevel="0" collapsed="false">
      <c r="A16" s="4" t="s">
        <v>79</v>
      </c>
      <c r="B16" s="3" t="s">
        <v>89</v>
      </c>
      <c r="C16" s="4" t="s">
        <v>90</v>
      </c>
      <c r="D16" s="4" t="s">
        <v>71</v>
      </c>
      <c r="E16" s="5" t="s">
        <v>19</v>
      </c>
      <c r="F16" s="12"/>
      <c r="G16" s="13" t="s">
        <v>91</v>
      </c>
      <c r="H16" s="12"/>
      <c r="I16" s="9" t="s">
        <v>92</v>
      </c>
      <c r="J16" s="9"/>
    </row>
    <row r="17" customFormat="false" ht="15" hidden="false" customHeight="false" outlineLevel="0" collapsed="false">
      <c r="A17" s="4" t="s">
        <v>93</v>
      </c>
      <c r="B17" s="3" t="s">
        <v>94</v>
      </c>
      <c r="C17" s="4" t="s">
        <v>95</v>
      </c>
      <c r="D17" s="4" t="s">
        <v>96</v>
      </c>
      <c r="E17" s="4" t="s">
        <v>17</v>
      </c>
      <c r="F17" s="8" t="n">
        <v>24</v>
      </c>
      <c r="G17" s="8" t="n">
        <v>26</v>
      </c>
      <c r="H17" s="8" t="n">
        <v>28</v>
      </c>
      <c r="I17" s="9" t="s">
        <v>97</v>
      </c>
      <c r="J17" s="9"/>
    </row>
    <row r="18" customFormat="false" ht="15" hidden="false" customHeight="false" outlineLevel="0" collapsed="false">
      <c r="A18" s="4" t="s">
        <v>93</v>
      </c>
      <c r="B18" s="3" t="s">
        <v>98</v>
      </c>
      <c r="C18" s="4" t="s">
        <v>99</v>
      </c>
      <c r="D18" s="4" t="s">
        <v>100</v>
      </c>
      <c r="E18" s="4" t="s">
        <v>15</v>
      </c>
      <c r="F18" s="7"/>
      <c r="G18" s="8" t="n">
        <v>24000</v>
      </c>
      <c r="H18" s="7"/>
      <c r="I18" s="9" t="s">
        <v>101</v>
      </c>
      <c r="J18" s="9"/>
    </row>
    <row r="19" customFormat="false" ht="15" hidden="false" customHeight="false" outlineLevel="0" collapsed="false">
      <c r="A19" s="4" t="s">
        <v>93</v>
      </c>
      <c r="B19" s="3" t="s">
        <v>102</v>
      </c>
      <c r="C19" s="4" t="s">
        <v>103</v>
      </c>
      <c r="D19" s="4" t="s">
        <v>104</v>
      </c>
      <c r="E19" s="4" t="s">
        <v>15</v>
      </c>
      <c r="F19" s="11" t="n">
        <v>275</v>
      </c>
      <c r="G19" s="11" t="n">
        <v>300</v>
      </c>
      <c r="H19" s="11" t="n">
        <v>325</v>
      </c>
      <c r="I19" s="9" t="s">
        <v>105</v>
      </c>
      <c r="J19" s="9"/>
    </row>
    <row r="20" customFormat="false" ht="15" hidden="false" customHeight="false" outlineLevel="0" collapsed="false">
      <c r="A20" s="4" t="s">
        <v>93</v>
      </c>
      <c r="B20" s="3" t="s">
        <v>106</v>
      </c>
      <c r="C20" s="4" t="s">
        <v>107</v>
      </c>
      <c r="D20" s="4" t="s">
        <v>108</v>
      </c>
      <c r="E20" s="4" t="s">
        <v>15</v>
      </c>
      <c r="F20" s="14" t="n">
        <v>0.15</v>
      </c>
      <c r="G20" s="14" t="n">
        <v>0.17</v>
      </c>
      <c r="H20" s="14" t="n">
        <v>0.2</v>
      </c>
      <c r="I20" s="9" t="s">
        <v>109</v>
      </c>
      <c r="J20" s="9" t="s">
        <v>110</v>
      </c>
    </row>
    <row r="21" customFormat="false" ht="15" hidden="false" customHeight="false" outlineLevel="0" collapsed="false">
      <c r="A21" s="4" t="s">
        <v>93</v>
      </c>
      <c r="B21" s="3" t="s">
        <v>111</v>
      </c>
      <c r="C21" s="4" t="s">
        <v>112</v>
      </c>
      <c r="D21" s="4" t="s">
        <v>113</v>
      </c>
      <c r="E21" s="4" t="s">
        <v>15</v>
      </c>
      <c r="F21" s="11" t="n">
        <v>15000</v>
      </c>
      <c r="G21" s="11" t="n">
        <v>20000</v>
      </c>
      <c r="H21" s="11" t="n">
        <v>25000</v>
      </c>
      <c r="I21" s="9" t="s">
        <v>109</v>
      </c>
      <c r="J21" s="9" t="s">
        <v>114</v>
      </c>
    </row>
    <row r="22" customFormat="false" ht="15" hidden="false" customHeight="false" outlineLevel="0" collapsed="false">
      <c r="A22" s="4" t="s">
        <v>93</v>
      </c>
      <c r="B22" s="3" t="s">
        <v>115</v>
      </c>
      <c r="C22" s="4" t="s">
        <v>116</v>
      </c>
      <c r="D22" s="4" t="s">
        <v>58</v>
      </c>
      <c r="E22" s="4" t="s">
        <v>15</v>
      </c>
      <c r="F22" s="11" t="n">
        <v>500000</v>
      </c>
      <c r="G22" s="11" t="n">
        <v>700000</v>
      </c>
      <c r="H22" s="11" t="n">
        <v>800000</v>
      </c>
      <c r="I22" s="9" t="s">
        <v>117</v>
      </c>
      <c r="J22" s="9" t="s">
        <v>118</v>
      </c>
    </row>
    <row r="23" customFormat="false" ht="15" hidden="false" customHeight="false" outlineLevel="0" collapsed="false">
      <c r="A23" s="4" t="s">
        <v>93</v>
      </c>
      <c r="B23" s="3" t="s">
        <v>119</v>
      </c>
      <c r="C23" s="4" t="s">
        <v>120</v>
      </c>
      <c r="D23" s="4" t="s">
        <v>108</v>
      </c>
      <c r="E23" s="4" t="s">
        <v>15</v>
      </c>
      <c r="F23" s="15"/>
      <c r="G23" s="14" t="n">
        <v>0.1</v>
      </c>
      <c r="H23" s="15"/>
      <c r="I23" s="9" t="s">
        <v>121</v>
      </c>
      <c r="J23" s="9"/>
    </row>
    <row r="24" customFormat="false" ht="15" hidden="false" customHeight="false" outlineLevel="0" collapsed="false">
      <c r="A24" s="4" t="s">
        <v>93</v>
      </c>
      <c r="B24" s="3" t="s">
        <v>122</v>
      </c>
      <c r="C24" s="4" t="s">
        <v>123</v>
      </c>
      <c r="D24" s="4" t="s">
        <v>108</v>
      </c>
      <c r="E24" s="4" t="s">
        <v>15</v>
      </c>
      <c r="F24" s="14" t="n">
        <v>0.65</v>
      </c>
      <c r="G24" s="14" t="n">
        <v>0.7</v>
      </c>
      <c r="H24" s="14" t="n">
        <v>0.75</v>
      </c>
      <c r="I24" s="9" t="s">
        <v>124</v>
      </c>
      <c r="J24" s="9"/>
    </row>
    <row r="25" customFormat="false" ht="15" hidden="false" customHeight="false" outlineLevel="0" collapsed="false">
      <c r="A25" s="4" t="s">
        <v>93</v>
      </c>
      <c r="B25" s="3" t="s">
        <v>125</v>
      </c>
      <c r="C25" s="4" t="s">
        <v>126</v>
      </c>
      <c r="D25" s="4" t="s">
        <v>58</v>
      </c>
      <c r="E25" s="4" t="s">
        <v>15</v>
      </c>
      <c r="F25" s="11" t="n">
        <v>120</v>
      </c>
      <c r="G25" s="11" t="n">
        <v>130</v>
      </c>
      <c r="H25" s="11" t="n">
        <v>140</v>
      </c>
      <c r="I25" s="9" t="s">
        <v>127</v>
      </c>
      <c r="J25" s="9" t="s">
        <v>128</v>
      </c>
    </row>
    <row r="26" customFormat="false" ht="15" hidden="false" customHeight="false" outlineLevel="0" collapsed="false">
      <c r="A26" s="4" t="s">
        <v>93</v>
      </c>
      <c r="B26" s="3" t="s">
        <v>129</v>
      </c>
      <c r="C26" s="4" t="s">
        <v>130</v>
      </c>
      <c r="D26" s="4" t="s">
        <v>58</v>
      </c>
      <c r="E26" s="4" t="s">
        <v>15</v>
      </c>
      <c r="F26" s="11" t="n">
        <v>350000</v>
      </c>
      <c r="G26" s="11" t="n">
        <v>425000</v>
      </c>
      <c r="H26" s="11" t="n">
        <v>500000</v>
      </c>
      <c r="I26" s="9" t="s">
        <v>131</v>
      </c>
      <c r="J26" s="9" t="s">
        <v>132</v>
      </c>
    </row>
    <row r="27" customFormat="false" ht="15" hidden="false" customHeight="false" outlineLevel="0" collapsed="false">
      <c r="A27" s="4" t="s">
        <v>93</v>
      </c>
      <c r="B27" s="3" t="s">
        <v>133</v>
      </c>
      <c r="C27" s="4" t="s">
        <v>134</v>
      </c>
      <c r="D27" s="4" t="s">
        <v>108</v>
      </c>
      <c r="E27" s="4" t="s">
        <v>15</v>
      </c>
      <c r="F27" s="14" t="n">
        <v>0.08</v>
      </c>
      <c r="G27" s="14" t="n">
        <v>0.085</v>
      </c>
      <c r="H27" s="14" t="n">
        <v>0.09</v>
      </c>
      <c r="I27" s="9" t="s">
        <v>135</v>
      </c>
      <c r="J27" s="9"/>
    </row>
    <row r="28" customFormat="false" ht="15" hidden="false" customHeight="false" outlineLevel="0" collapsed="false">
      <c r="A28" s="4" t="s">
        <v>136</v>
      </c>
      <c r="B28" s="3" t="s">
        <v>137</v>
      </c>
      <c r="C28" s="4" t="s">
        <v>138</v>
      </c>
      <c r="D28" s="4" t="s">
        <v>96</v>
      </c>
      <c r="E28" s="4" t="s">
        <v>17</v>
      </c>
      <c r="F28" s="8" t="n">
        <v>60</v>
      </c>
      <c r="G28" s="8" t="n">
        <v>70</v>
      </c>
      <c r="H28" s="8" t="n">
        <v>80</v>
      </c>
      <c r="I28" s="9" t="s">
        <v>139</v>
      </c>
      <c r="J28" s="9"/>
    </row>
    <row r="29" customFormat="false" ht="15" hidden="false" customHeight="false" outlineLevel="0" collapsed="false">
      <c r="A29" s="4" t="s">
        <v>136</v>
      </c>
      <c r="B29" s="3" t="s">
        <v>140</v>
      </c>
      <c r="C29" s="4" t="s">
        <v>141</v>
      </c>
      <c r="D29" s="4" t="s">
        <v>100</v>
      </c>
      <c r="E29" s="4" t="s">
        <v>15</v>
      </c>
      <c r="F29" s="7"/>
      <c r="G29" s="8" t="n">
        <v>65000</v>
      </c>
      <c r="H29" s="7"/>
      <c r="I29" s="9" t="s">
        <v>142</v>
      </c>
      <c r="J29" s="9"/>
    </row>
    <row r="30" customFormat="false" ht="15" hidden="false" customHeight="false" outlineLevel="0" collapsed="false">
      <c r="A30" s="4" t="s">
        <v>136</v>
      </c>
      <c r="B30" s="3" t="s">
        <v>143</v>
      </c>
      <c r="C30" s="4" t="s">
        <v>144</v>
      </c>
      <c r="D30" s="4" t="s">
        <v>104</v>
      </c>
      <c r="E30" s="4" t="s">
        <v>15</v>
      </c>
      <c r="F30" s="10"/>
      <c r="G30" s="11" t="n">
        <v>300</v>
      </c>
      <c r="H30" s="10"/>
      <c r="I30" s="9" t="s">
        <v>145</v>
      </c>
      <c r="J30" s="9" t="s">
        <v>146</v>
      </c>
    </row>
    <row r="31" customFormat="false" ht="15" hidden="false" customHeight="false" outlineLevel="0" collapsed="false">
      <c r="A31" s="4" t="s">
        <v>136</v>
      </c>
      <c r="B31" s="3" t="s">
        <v>147</v>
      </c>
      <c r="C31" s="4" t="s">
        <v>148</v>
      </c>
      <c r="D31" s="4" t="s">
        <v>108</v>
      </c>
      <c r="E31" s="4" t="s">
        <v>15</v>
      </c>
      <c r="F31" s="15"/>
      <c r="G31" s="14" t="n">
        <v>0.18</v>
      </c>
      <c r="H31" s="15"/>
      <c r="I31" s="9" t="s">
        <v>109</v>
      </c>
      <c r="J31" s="9"/>
    </row>
    <row r="32" customFormat="false" ht="15" hidden="false" customHeight="false" outlineLevel="0" collapsed="false">
      <c r="A32" s="4" t="s">
        <v>136</v>
      </c>
      <c r="B32" s="3" t="s">
        <v>149</v>
      </c>
      <c r="C32" s="4" t="s">
        <v>150</v>
      </c>
      <c r="D32" s="4" t="s">
        <v>113</v>
      </c>
      <c r="E32" s="4" t="s">
        <v>15</v>
      </c>
      <c r="F32" s="10"/>
      <c r="G32" s="11" t="n">
        <v>20000</v>
      </c>
      <c r="H32" s="10"/>
      <c r="I32" s="9" t="s">
        <v>109</v>
      </c>
      <c r="J32" s="9" t="s">
        <v>151</v>
      </c>
    </row>
    <row r="33" customFormat="false" ht="15" hidden="false" customHeight="false" outlineLevel="0" collapsed="false">
      <c r="A33" s="4" t="s">
        <v>136</v>
      </c>
      <c r="B33" s="3" t="s">
        <v>152</v>
      </c>
      <c r="C33" s="4" t="s">
        <v>153</v>
      </c>
      <c r="D33" s="4" t="s">
        <v>58</v>
      </c>
      <c r="E33" s="4" t="s">
        <v>15</v>
      </c>
      <c r="F33" s="11" t="n">
        <v>1500000</v>
      </c>
      <c r="G33" s="11" t="n">
        <v>2000000</v>
      </c>
      <c r="H33" s="11" t="n">
        <v>2500000</v>
      </c>
      <c r="I33" s="9" t="s">
        <v>154</v>
      </c>
      <c r="J33" s="9" t="s">
        <v>155</v>
      </c>
    </row>
    <row r="34" customFormat="false" ht="15" hidden="false" customHeight="false" outlineLevel="0" collapsed="false">
      <c r="A34" s="4" t="s">
        <v>136</v>
      </c>
      <c r="B34" s="3" t="s">
        <v>156</v>
      </c>
      <c r="C34" s="4" t="s">
        <v>157</v>
      </c>
      <c r="D34" s="4" t="s">
        <v>108</v>
      </c>
      <c r="E34" s="4" t="s">
        <v>15</v>
      </c>
      <c r="F34" s="15"/>
      <c r="G34" s="14" t="n">
        <v>0.1</v>
      </c>
      <c r="H34" s="15"/>
      <c r="I34" s="9" t="s">
        <v>109</v>
      </c>
      <c r="J34" s="9"/>
    </row>
    <row r="35" customFormat="false" ht="15" hidden="false" customHeight="false" outlineLevel="0" collapsed="false">
      <c r="A35" s="4" t="s">
        <v>136</v>
      </c>
      <c r="B35" s="3" t="s">
        <v>158</v>
      </c>
      <c r="C35" s="4" t="s">
        <v>159</v>
      </c>
      <c r="D35" s="4" t="s">
        <v>108</v>
      </c>
      <c r="E35" s="4" t="s">
        <v>15</v>
      </c>
      <c r="F35" s="14" t="n">
        <v>0.65</v>
      </c>
      <c r="G35" s="14" t="n">
        <v>0.7</v>
      </c>
      <c r="H35" s="14" t="n">
        <v>0.75</v>
      </c>
      <c r="I35" s="9" t="s">
        <v>160</v>
      </c>
      <c r="J35" s="9"/>
    </row>
    <row r="36" customFormat="false" ht="15" hidden="false" customHeight="false" outlineLevel="0" collapsed="false">
      <c r="A36" s="4" t="s">
        <v>136</v>
      </c>
      <c r="B36" s="3" t="s">
        <v>161</v>
      </c>
      <c r="C36" s="4" t="s">
        <v>162</v>
      </c>
      <c r="D36" s="4" t="s">
        <v>58</v>
      </c>
      <c r="E36" s="4" t="s">
        <v>15</v>
      </c>
      <c r="F36" s="11" t="n">
        <v>140</v>
      </c>
      <c r="G36" s="11" t="n">
        <v>160</v>
      </c>
      <c r="H36" s="11" t="n">
        <v>180</v>
      </c>
      <c r="I36" s="9" t="s">
        <v>163</v>
      </c>
      <c r="J36" s="9" t="s">
        <v>164</v>
      </c>
    </row>
    <row r="37" customFormat="false" ht="15" hidden="false" customHeight="false" outlineLevel="0" collapsed="false">
      <c r="A37" s="4" t="s">
        <v>136</v>
      </c>
      <c r="B37" s="3" t="s">
        <v>165</v>
      </c>
      <c r="C37" s="4" t="s">
        <v>166</v>
      </c>
      <c r="D37" s="4" t="s">
        <v>58</v>
      </c>
      <c r="E37" s="4" t="s">
        <v>15</v>
      </c>
      <c r="F37" s="11" t="n">
        <v>1800000</v>
      </c>
      <c r="G37" s="11" t="n">
        <v>2000000</v>
      </c>
      <c r="H37" s="11" t="n">
        <v>2200000</v>
      </c>
      <c r="I37" s="9" t="s">
        <v>131</v>
      </c>
      <c r="J37" s="9" t="s">
        <v>132</v>
      </c>
    </row>
    <row r="38" customFormat="false" ht="15" hidden="false" customHeight="false" outlineLevel="0" collapsed="false">
      <c r="A38" s="4" t="s">
        <v>136</v>
      </c>
      <c r="B38" s="3" t="s">
        <v>167</v>
      </c>
      <c r="C38" s="4" t="s">
        <v>168</v>
      </c>
      <c r="D38" s="4" t="s">
        <v>108</v>
      </c>
      <c r="E38" s="4" t="s">
        <v>15</v>
      </c>
      <c r="F38" s="15"/>
      <c r="G38" s="14" t="n">
        <v>0.08</v>
      </c>
      <c r="H38" s="15"/>
      <c r="I38" s="9" t="s">
        <v>169</v>
      </c>
      <c r="J38" s="9"/>
    </row>
    <row r="39" customFormat="false" ht="15" hidden="false" customHeight="false" outlineLevel="0" collapsed="false">
      <c r="A39" s="4" t="s">
        <v>170</v>
      </c>
      <c r="B39" s="3" t="s">
        <v>171</v>
      </c>
      <c r="C39" s="4" t="s">
        <v>172</v>
      </c>
      <c r="D39" s="4" t="s">
        <v>58</v>
      </c>
      <c r="E39" s="4" t="s">
        <v>15</v>
      </c>
      <c r="F39" s="11" t="n">
        <v>16000000</v>
      </c>
      <c r="G39" s="11" t="n">
        <v>16500000</v>
      </c>
      <c r="H39" s="11" t="n">
        <v>17000000</v>
      </c>
      <c r="I39" s="9" t="s">
        <v>173</v>
      </c>
      <c r="J39" s="9"/>
    </row>
    <row r="40" customFormat="false" ht="15" hidden="false" customHeight="false" outlineLevel="0" collapsed="false">
      <c r="A40" s="4" t="s">
        <v>170</v>
      </c>
      <c r="B40" s="3" t="s">
        <v>174</v>
      </c>
      <c r="C40" s="4" t="s">
        <v>175</v>
      </c>
      <c r="D40" s="4" t="s">
        <v>58</v>
      </c>
      <c r="E40" s="5" t="s">
        <v>19</v>
      </c>
      <c r="F40" s="11" t="n">
        <v>3000000</v>
      </c>
      <c r="G40" s="11" t="n">
        <v>3500000</v>
      </c>
      <c r="H40" s="11" t="n">
        <v>4000000</v>
      </c>
      <c r="I40" s="9" t="s">
        <v>176</v>
      </c>
      <c r="J40" s="9" t="s">
        <v>177</v>
      </c>
    </row>
    <row r="41" customFormat="false" ht="15" hidden="false" customHeight="false" outlineLevel="0" collapsed="false">
      <c r="A41" s="4" t="s">
        <v>170</v>
      </c>
      <c r="B41" s="3" t="s">
        <v>178</v>
      </c>
      <c r="C41" s="4" t="s">
        <v>179</v>
      </c>
      <c r="D41" s="4" t="s">
        <v>58</v>
      </c>
      <c r="E41" s="5" t="s">
        <v>19</v>
      </c>
      <c r="F41" s="11" t="n">
        <v>0</v>
      </c>
      <c r="G41" s="11" t="n">
        <v>0</v>
      </c>
      <c r="H41" s="11" t="n">
        <v>1000000</v>
      </c>
      <c r="I41" s="9" t="s">
        <v>180</v>
      </c>
      <c r="J41" s="9" t="s">
        <v>181</v>
      </c>
    </row>
    <row r="42" customFormat="false" ht="15" hidden="false" customHeight="false" outlineLevel="0" collapsed="false">
      <c r="A42" s="4" t="s">
        <v>170</v>
      </c>
      <c r="B42" s="3" t="s">
        <v>182</v>
      </c>
      <c r="C42" s="4" t="s">
        <v>183</v>
      </c>
      <c r="D42" s="4" t="s">
        <v>58</v>
      </c>
      <c r="E42" s="5" t="s">
        <v>19</v>
      </c>
      <c r="F42" s="11" t="n">
        <v>1000000</v>
      </c>
      <c r="G42" s="11" t="n">
        <v>1500000</v>
      </c>
      <c r="H42" s="11" t="n">
        <v>2000000</v>
      </c>
      <c r="I42" s="9" t="s">
        <v>184</v>
      </c>
      <c r="J42" s="9" t="s">
        <v>185</v>
      </c>
    </row>
    <row r="43" customFormat="false" ht="15" hidden="false" customHeight="false" outlineLevel="0" collapsed="false">
      <c r="A43" s="4" t="s">
        <v>170</v>
      </c>
      <c r="B43" s="3" t="s">
        <v>186</v>
      </c>
      <c r="C43" s="4" t="s">
        <v>187</v>
      </c>
      <c r="D43" s="4" t="s">
        <v>58</v>
      </c>
      <c r="E43" s="5" t="s">
        <v>19</v>
      </c>
      <c r="F43" s="11" t="n">
        <v>500000</v>
      </c>
      <c r="G43" s="11" t="n">
        <v>750000</v>
      </c>
      <c r="H43" s="11" t="n">
        <v>1000000</v>
      </c>
      <c r="I43" s="9" t="s">
        <v>188</v>
      </c>
      <c r="J43" s="9" t="s">
        <v>189</v>
      </c>
    </row>
    <row r="44" customFormat="false" ht="15" hidden="false" customHeight="false" outlineLevel="0" collapsed="false">
      <c r="A44" s="4" t="s">
        <v>170</v>
      </c>
      <c r="B44" s="3" t="s">
        <v>190</v>
      </c>
      <c r="C44" s="4" t="s">
        <v>191</v>
      </c>
      <c r="D44" s="4" t="s">
        <v>58</v>
      </c>
      <c r="E44" s="4" t="s">
        <v>15</v>
      </c>
      <c r="F44" s="11" t="n">
        <v>500000</v>
      </c>
      <c r="G44" s="11" t="n">
        <v>700000</v>
      </c>
      <c r="H44" s="11" t="n">
        <v>800000</v>
      </c>
      <c r="I44" s="9" t="s">
        <v>192</v>
      </c>
      <c r="J44" s="9" t="s">
        <v>193</v>
      </c>
    </row>
    <row r="45" customFormat="false" ht="15" hidden="false" customHeight="false" outlineLevel="0" collapsed="false">
      <c r="A45" s="4" t="s">
        <v>170</v>
      </c>
      <c r="B45" s="3" t="s">
        <v>194</v>
      </c>
      <c r="C45" s="4" t="s">
        <v>195</v>
      </c>
      <c r="D45" s="4" t="s">
        <v>58</v>
      </c>
      <c r="E45" s="4" t="s">
        <v>15</v>
      </c>
      <c r="F45" s="11" t="n">
        <v>1500000</v>
      </c>
      <c r="G45" s="11" t="n">
        <v>1750000</v>
      </c>
      <c r="H45" s="11" t="n">
        <v>2000000</v>
      </c>
      <c r="I45" s="9" t="s">
        <v>196</v>
      </c>
      <c r="J45" s="9"/>
    </row>
    <row r="46" customFormat="false" ht="15" hidden="false" customHeight="false" outlineLevel="0" collapsed="false">
      <c r="A46" s="4" t="s">
        <v>170</v>
      </c>
      <c r="B46" s="3" t="s">
        <v>197</v>
      </c>
      <c r="C46" s="4" t="s">
        <v>198</v>
      </c>
      <c r="D46" s="4" t="s">
        <v>58</v>
      </c>
      <c r="E46" s="4" t="s">
        <v>15</v>
      </c>
      <c r="F46" s="11" t="n">
        <v>2000000</v>
      </c>
      <c r="G46" s="11" t="n">
        <v>2500000</v>
      </c>
      <c r="H46" s="11" t="n">
        <v>3000000</v>
      </c>
      <c r="I46" s="9" t="s">
        <v>199</v>
      </c>
      <c r="J46" s="9"/>
    </row>
    <row r="47" customFormat="false" ht="15" hidden="false" customHeight="false" outlineLevel="0" collapsed="false">
      <c r="A47" s="4" t="s">
        <v>200</v>
      </c>
      <c r="B47" s="3" t="s">
        <v>201</v>
      </c>
      <c r="C47" s="4" t="s">
        <v>202</v>
      </c>
      <c r="D47" s="4" t="s">
        <v>58</v>
      </c>
      <c r="E47" s="4" t="s">
        <v>15</v>
      </c>
      <c r="F47" s="11" t="n">
        <v>600000</v>
      </c>
      <c r="G47" s="11" t="n">
        <v>850000</v>
      </c>
      <c r="H47" s="11" t="n">
        <v>1100000</v>
      </c>
      <c r="I47" s="9" t="s">
        <v>203</v>
      </c>
      <c r="J47" s="9"/>
    </row>
    <row r="48" customFormat="false" ht="15" hidden="false" customHeight="false" outlineLevel="0" collapsed="false">
      <c r="A48" s="4" t="s">
        <v>200</v>
      </c>
      <c r="B48" s="3" t="s">
        <v>204</v>
      </c>
      <c r="C48" s="4" t="s">
        <v>205</v>
      </c>
      <c r="D48" s="4" t="s">
        <v>206</v>
      </c>
      <c r="E48" s="4" t="s">
        <v>15</v>
      </c>
      <c r="F48" s="16" t="n">
        <v>15</v>
      </c>
      <c r="G48" s="16" t="n">
        <v>16.5</v>
      </c>
      <c r="H48" s="16" t="n">
        <v>18</v>
      </c>
      <c r="I48" s="9" t="s">
        <v>207</v>
      </c>
      <c r="J48" s="9"/>
    </row>
    <row r="49" customFormat="false" ht="15" hidden="false" customHeight="false" outlineLevel="0" collapsed="false">
      <c r="A49" s="4" t="s">
        <v>208</v>
      </c>
      <c r="B49" s="3" t="s">
        <v>209</v>
      </c>
      <c r="C49" s="4" t="s">
        <v>210</v>
      </c>
      <c r="D49" s="4" t="s">
        <v>108</v>
      </c>
      <c r="E49" s="4" t="s">
        <v>211</v>
      </c>
      <c r="F49" s="14" t="n">
        <v>0.1</v>
      </c>
      <c r="G49" s="14" t="n">
        <v>0.11</v>
      </c>
      <c r="H49" s="14" t="n">
        <v>0.12</v>
      </c>
      <c r="I49" s="9" t="s">
        <v>212</v>
      </c>
      <c r="J49" s="9" t="s">
        <v>213</v>
      </c>
    </row>
    <row r="50" customFormat="false" ht="15" hidden="false" customHeight="false" outlineLevel="0" collapsed="false">
      <c r="A50" s="4" t="s">
        <v>208</v>
      </c>
      <c r="B50" s="3" t="s">
        <v>214</v>
      </c>
      <c r="C50" s="4" t="s">
        <v>215</v>
      </c>
      <c r="D50" s="4" t="s">
        <v>108</v>
      </c>
      <c r="E50" s="4" t="s">
        <v>211</v>
      </c>
      <c r="F50" s="15"/>
      <c r="G50" s="14" t="n">
        <v>0.08</v>
      </c>
      <c r="H50" s="15"/>
      <c r="I50" s="9" t="s">
        <v>216</v>
      </c>
      <c r="J50" s="9"/>
    </row>
    <row r="51" customFormat="false" ht="15" hidden="false" customHeight="false" outlineLevel="0" collapsed="false">
      <c r="A51" s="4" t="s">
        <v>208</v>
      </c>
      <c r="B51" s="3" t="s">
        <v>217</v>
      </c>
      <c r="C51" s="4" t="s">
        <v>218</v>
      </c>
      <c r="D51" s="4" t="s">
        <v>108</v>
      </c>
      <c r="E51" s="4" t="s">
        <v>211</v>
      </c>
      <c r="F51" s="14" t="n">
        <v>0.03</v>
      </c>
      <c r="G51" s="14" t="n">
        <v>0.04</v>
      </c>
      <c r="H51" s="14" t="n">
        <v>0.05</v>
      </c>
      <c r="I51" s="9" t="s">
        <v>219</v>
      </c>
      <c r="J5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5" customFormat="false" ht="15" hidden="false" customHeight="false" outlineLevel="0" collapsed="false">
      <c r="A5" s="6" t="s">
        <v>222</v>
      </c>
      <c r="B5" s="6" t="s">
        <v>223</v>
      </c>
      <c r="C5" s="6" t="s">
        <v>224</v>
      </c>
    </row>
    <row r="6" customFormat="false" ht="15" hidden="false" customHeight="false" outlineLevel="0" collapsed="false">
      <c r="A6" s="4" t="s">
        <v>225</v>
      </c>
      <c r="B6" s="9" t="s">
        <v>226</v>
      </c>
      <c r="C6" s="17" t="n">
        <f aca="false">PathA_Keys</f>
        <v>26</v>
      </c>
    </row>
    <row r="7" customFormat="false" ht="15" hidden="false" customHeight="false" outlineLevel="0" collapsed="false">
      <c r="A7" s="4" t="s">
        <v>227</v>
      </c>
      <c r="B7" s="9" t="s">
        <v>228</v>
      </c>
      <c r="C7" s="17" t="n">
        <f aca="false">PathA_Gsf</f>
        <v>24000</v>
      </c>
    </row>
    <row r="8" customFormat="false" ht="15" hidden="false" customHeight="false" outlineLevel="0" collapsed="false">
      <c r="A8" s="4" t="s">
        <v>229</v>
      </c>
      <c r="B8" s="9" t="s">
        <v>230</v>
      </c>
      <c r="C8" s="18" t="n">
        <f aca="false">PathA_HardCostPsf</f>
        <v>300</v>
      </c>
    </row>
    <row r="10" customFormat="false" ht="15" hidden="false" customHeight="false" outlineLevel="0" collapsed="false">
      <c r="A10" s="4" t="s">
        <v>231</v>
      </c>
      <c r="B10" s="9" t="s">
        <v>232</v>
      </c>
      <c r="C10" s="18" t="n">
        <f aca="false">PathA_Gsf*PathA_HardCostPsf</f>
        <v>7200000</v>
      </c>
    </row>
    <row r="11" customFormat="false" ht="15" hidden="false" customHeight="false" outlineLevel="0" collapsed="false">
      <c r="A11" s="4" t="s">
        <v>233</v>
      </c>
      <c r="B11" s="9" t="s">
        <v>234</v>
      </c>
      <c r="C11" s="18" t="n">
        <f aca="false">C10*PathA_SoftCostPct</f>
        <v>1224000</v>
      </c>
    </row>
    <row r="12" customFormat="false" ht="15" hidden="false" customHeight="false" outlineLevel="0" collapsed="false">
      <c r="A12" s="4" t="s">
        <v>235</v>
      </c>
      <c r="B12" s="9" t="s">
        <v>236</v>
      </c>
      <c r="C12" s="18" t="n">
        <f aca="false">PathA_Keys*PathA_FfePerKey</f>
        <v>520000</v>
      </c>
    </row>
    <row r="13" customFormat="false" ht="15" hidden="false" customHeight="false" outlineLevel="0" collapsed="false">
      <c r="A13" s="4" t="s">
        <v>237</v>
      </c>
      <c r="B13" s="9" t="s">
        <v>238</v>
      </c>
      <c r="C13" s="18" t="n">
        <f aca="false">PathA_LandValue</f>
        <v>700000</v>
      </c>
    </row>
    <row r="14" customFormat="false" ht="15" hidden="false" customHeight="false" outlineLevel="0" collapsed="false">
      <c r="A14" s="4" t="s">
        <v>239</v>
      </c>
      <c r="B14" s="9" t="s">
        <v>240</v>
      </c>
      <c r="C14" s="18" t="n">
        <f aca="false">(C10+C11+C12+C13)*PathA_ContingencyPct</f>
        <v>964400</v>
      </c>
    </row>
    <row r="15" customFormat="false" ht="15" hidden="false" customHeight="false" outlineLevel="0" collapsed="false">
      <c r="A15" s="19" t="s">
        <v>241</v>
      </c>
      <c r="B15" s="20" t="s">
        <v>242</v>
      </c>
      <c r="C15" s="21" t="n">
        <f aca="false">C10+C11+C12+C13+C14</f>
        <v>10608400</v>
      </c>
    </row>
    <row r="17" customFormat="false" ht="15" hidden="false" customHeight="false" outlineLevel="0" collapsed="false">
      <c r="A17" s="4" t="s">
        <v>243</v>
      </c>
      <c r="B17" s="9" t="s">
        <v>244</v>
      </c>
      <c r="C17" s="18" t="n">
        <f aca="false">PathA_StabilizedNoi</f>
        <v>425000</v>
      </c>
    </row>
    <row r="18" customFormat="false" ht="15" hidden="false" customHeight="false" outlineLevel="0" collapsed="false">
      <c r="A18" s="4" t="s">
        <v>245</v>
      </c>
      <c r="B18" s="9" t="s">
        <v>246</v>
      </c>
      <c r="C18" s="22" t="n">
        <f aca="false">C17/C15</f>
        <v>0.0400625919082991</v>
      </c>
    </row>
    <row r="19" customFormat="false" ht="15" hidden="false" customHeight="false" outlineLevel="0" collapsed="false">
      <c r="A19" s="4" t="s">
        <v>247</v>
      </c>
      <c r="B19" s="9" t="s">
        <v>248</v>
      </c>
      <c r="C19" s="22" t="n">
        <f aca="false">PathA_CapRate</f>
        <v>0.085</v>
      </c>
    </row>
    <row r="20" customFormat="false" ht="15" hidden="false" customHeight="false" outlineLevel="0" collapsed="false">
      <c r="A20" s="19" t="s">
        <v>249</v>
      </c>
      <c r="B20" s="20" t="s">
        <v>250</v>
      </c>
      <c r="C20" s="21" t="n">
        <f aca="false">C17/C19</f>
        <v>5000000</v>
      </c>
    </row>
    <row r="21" customFormat="false" ht="15" hidden="false" customHeight="false" outlineLevel="0" collapsed="false">
      <c r="A21" s="19" t="s">
        <v>251</v>
      </c>
      <c r="B21" s="20" t="s">
        <v>252</v>
      </c>
      <c r="C21" s="21" t="n">
        <f aca="false">C15-C20</f>
        <v>5608400</v>
      </c>
    </row>
    <row r="23" customFormat="false" ht="15" hidden="false" customHeight="false" outlineLevel="0" collapsed="false">
      <c r="A23" s="2" t="s">
        <v>253</v>
      </c>
    </row>
    <row r="24" customFormat="false" ht="15" hidden="false" customHeight="false" outlineLevel="0" collapsed="false">
      <c r="A24" s="4" t="s">
        <v>254</v>
      </c>
      <c r="B24" s="9" t="s">
        <v>255</v>
      </c>
      <c r="C24" s="18" t="n">
        <f aca="false">PathA_Adr</f>
        <v>130</v>
      </c>
    </row>
    <row r="25" customFormat="false" ht="15" hidden="false" customHeight="false" outlineLevel="0" collapsed="false">
      <c r="A25" s="4" t="s">
        <v>256</v>
      </c>
      <c r="B25" s="9" t="s">
        <v>257</v>
      </c>
      <c r="C25" s="22" t="n">
        <f aca="false">PathA_Occupancy</f>
        <v>0.7</v>
      </c>
    </row>
    <row r="26" customFormat="false" ht="15" hidden="false" customHeight="false" outlineLevel="0" collapsed="false">
      <c r="A26" s="4" t="s">
        <v>258</v>
      </c>
      <c r="B26" s="9" t="s">
        <v>259</v>
      </c>
      <c r="C26" s="18" t="n">
        <f aca="false">PathA_Keys*365*PathA_Occupancy*PathA_Adr</f>
        <v>863590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5" customFormat="false" ht="15" hidden="false" customHeight="false" outlineLevel="0" collapsed="false">
      <c r="A5" s="6" t="s">
        <v>222</v>
      </c>
      <c r="B5" s="6" t="s">
        <v>223</v>
      </c>
      <c r="C5" s="6" t="s">
        <v>224</v>
      </c>
    </row>
    <row r="6" customFormat="false" ht="15" hidden="false" customHeight="false" outlineLevel="0" collapsed="false">
      <c r="A6" s="4" t="s">
        <v>225</v>
      </c>
      <c r="B6" s="9" t="s">
        <v>262</v>
      </c>
      <c r="C6" s="17" t="n">
        <f aca="false">PathB_Keys</f>
        <v>70</v>
      </c>
    </row>
    <row r="7" customFormat="false" ht="15" hidden="false" customHeight="false" outlineLevel="0" collapsed="false">
      <c r="A7" s="4" t="s">
        <v>227</v>
      </c>
      <c r="B7" s="9" t="s">
        <v>263</v>
      </c>
      <c r="C7" s="17" t="n">
        <f aca="false">PathB_Gsf</f>
        <v>65000</v>
      </c>
    </row>
    <row r="8" customFormat="false" ht="15" hidden="false" customHeight="false" outlineLevel="0" collapsed="false">
      <c r="A8" s="4" t="s">
        <v>229</v>
      </c>
      <c r="B8" s="9" t="s">
        <v>264</v>
      </c>
      <c r="C8" s="18" t="n">
        <f aca="false">PathB_HardCostPsf</f>
        <v>300</v>
      </c>
    </row>
    <row r="10" customFormat="false" ht="15" hidden="false" customHeight="false" outlineLevel="0" collapsed="false">
      <c r="A10" s="4" t="s">
        <v>231</v>
      </c>
      <c r="B10" s="9" t="s">
        <v>232</v>
      </c>
      <c r="C10" s="18" t="n">
        <f aca="false">PathB_Gsf*PathB_HardCostPsf</f>
        <v>19500000</v>
      </c>
    </row>
    <row r="11" customFormat="false" ht="15" hidden="false" customHeight="false" outlineLevel="0" collapsed="false">
      <c r="A11" s="4" t="s">
        <v>233</v>
      </c>
      <c r="B11" s="9" t="s">
        <v>234</v>
      </c>
      <c r="C11" s="18" t="n">
        <f aca="false">C10*PathB_SoftCostPct</f>
        <v>3510000</v>
      </c>
    </row>
    <row r="12" customFormat="false" ht="15" hidden="false" customHeight="false" outlineLevel="0" collapsed="false">
      <c r="A12" s="4" t="s">
        <v>235</v>
      </c>
      <c r="B12" s="9" t="s">
        <v>236</v>
      </c>
      <c r="C12" s="18" t="n">
        <f aca="false">PathB_Keys*PathB_FfePerKey</f>
        <v>1400000</v>
      </c>
    </row>
    <row r="13" customFormat="false" ht="15" hidden="false" customHeight="false" outlineLevel="0" collapsed="false">
      <c r="A13" s="4" t="s">
        <v>265</v>
      </c>
      <c r="B13" s="9" t="s">
        <v>154</v>
      </c>
      <c r="C13" s="18" t="n">
        <f aca="false">PathB_LandAcquisition</f>
        <v>2000000</v>
      </c>
    </row>
    <row r="14" customFormat="false" ht="15" hidden="false" customHeight="false" outlineLevel="0" collapsed="false">
      <c r="A14" s="4" t="s">
        <v>239</v>
      </c>
      <c r="B14" s="9" t="s">
        <v>240</v>
      </c>
      <c r="C14" s="18" t="n">
        <f aca="false">(C10+C11+C12+C13)*PathB_ContingencyPct</f>
        <v>2641000</v>
      </c>
    </row>
    <row r="15" customFormat="false" ht="15" hidden="false" customHeight="false" outlineLevel="0" collapsed="false">
      <c r="A15" s="19" t="s">
        <v>241</v>
      </c>
      <c r="B15" s="20" t="s">
        <v>242</v>
      </c>
      <c r="C15" s="21" t="n">
        <f aca="false">C10+C11+C12+C13+C14</f>
        <v>29051000</v>
      </c>
    </row>
    <row r="17" customFormat="false" ht="15" hidden="false" customHeight="false" outlineLevel="0" collapsed="false">
      <c r="A17" s="4" t="s">
        <v>243</v>
      </c>
      <c r="B17" s="9" t="s">
        <v>244</v>
      </c>
      <c r="C17" s="18" t="n">
        <f aca="false">PathB_StabilizedNoi</f>
        <v>2000000</v>
      </c>
    </row>
    <row r="18" customFormat="false" ht="15" hidden="false" customHeight="false" outlineLevel="0" collapsed="false">
      <c r="A18" s="4" t="s">
        <v>245</v>
      </c>
      <c r="B18" s="9" t="s">
        <v>246</v>
      </c>
      <c r="C18" s="22" t="n">
        <f aca="false">C17/C15</f>
        <v>0.068844445974321</v>
      </c>
    </row>
    <row r="19" customFormat="false" ht="15" hidden="false" customHeight="false" outlineLevel="0" collapsed="false">
      <c r="A19" s="4" t="s">
        <v>247</v>
      </c>
      <c r="B19" s="9" t="s">
        <v>248</v>
      </c>
      <c r="C19" s="22" t="n">
        <f aca="false">PathB_CapRate</f>
        <v>0.08</v>
      </c>
    </row>
    <row r="20" customFormat="false" ht="15" hidden="false" customHeight="false" outlineLevel="0" collapsed="false">
      <c r="A20" s="19" t="s">
        <v>249</v>
      </c>
      <c r="B20" s="20" t="s">
        <v>250</v>
      </c>
      <c r="C20" s="21" t="n">
        <f aca="false">C17/C19</f>
        <v>25000000</v>
      </c>
    </row>
    <row r="21" customFormat="false" ht="15" hidden="false" customHeight="false" outlineLevel="0" collapsed="false">
      <c r="A21" s="19" t="s">
        <v>251</v>
      </c>
      <c r="B21" s="20" t="s">
        <v>266</v>
      </c>
      <c r="C21" s="21" t="n">
        <f aca="false">C15-C20</f>
        <v>4051000</v>
      </c>
    </row>
    <row r="23" customFormat="false" ht="15" hidden="false" customHeight="false" outlineLevel="0" collapsed="false">
      <c r="A23" s="2" t="s">
        <v>253</v>
      </c>
    </row>
    <row r="24" customFormat="false" ht="15" hidden="false" customHeight="false" outlineLevel="0" collapsed="false">
      <c r="A24" s="4" t="s">
        <v>254</v>
      </c>
      <c r="B24" s="9" t="s">
        <v>255</v>
      </c>
      <c r="C24" s="18" t="n">
        <f aca="false">PathB_Adr</f>
        <v>160</v>
      </c>
    </row>
    <row r="25" customFormat="false" ht="15" hidden="false" customHeight="false" outlineLevel="0" collapsed="false">
      <c r="A25" s="4" t="s">
        <v>256</v>
      </c>
      <c r="B25" s="9" t="s">
        <v>257</v>
      </c>
      <c r="C25" s="22" t="n">
        <f aca="false">PathB_Occupancy</f>
        <v>0.7</v>
      </c>
    </row>
    <row r="26" customFormat="false" ht="15" hidden="false" customHeight="false" outlineLevel="0" collapsed="false">
      <c r="A26" s="4" t="s">
        <v>258</v>
      </c>
      <c r="B26" s="9" t="s">
        <v>259</v>
      </c>
      <c r="C26" s="18" t="n">
        <f aca="false">PathB_Keys*365*PathB_Occupancy*PathB_Adr</f>
        <v>2861600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5" customFormat="false" ht="15" hidden="false" customHeight="false" outlineLevel="0" collapsed="false">
      <c r="A5" s="6" t="s">
        <v>46</v>
      </c>
      <c r="B5" s="6" t="s">
        <v>269</v>
      </c>
      <c r="C5" s="6" t="s">
        <v>42</v>
      </c>
      <c r="D5" s="6" t="s">
        <v>47</v>
      </c>
    </row>
    <row r="6" customFormat="false" ht="15" hidden="false" customHeight="false" outlineLevel="0" collapsed="false">
      <c r="A6" s="4" t="s">
        <v>172</v>
      </c>
      <c r="B6" s="18" t="n">
        <f aca="false">Stack_SeniorDebt</f>
        <v>16500000</v>
      </c>
      <c r="C6" s="4" t="s">
        <v>15</v>
      </c>
      <c r="D6" s="9" t="s">
        <v>270</v>
      </c>
    </row>
    <row r="7" customFormat="false" ht="15" hidden="false" customHeight="false" outlineLevel="0" collapsed="false">
      <c r="A7" s="4" t="s">
        <v>175</v>
      </c>
      <c r="B7" s="18" t="n">
        <f aca="false">Stack_NmtcEquity</f>
        <v>3500000</v>
      </c>
      <c r="C7" s="5" t="s">
        <v>19</v>
      </c>
      <c r="D7" s="9" t="s">
        <v>87</v>
      </c>
    </row>
    <row r="8" customFormat="false" ht="15" hidden="false" customHeight="false" outlineLevel="0" collapsed="false">
      <c r="A8" s="4" t="s">
        <v>179</v>
      </c>
      <c r="B8" s="18" t="n">
        <f aca="false">Stack_HtcEquity</f>
        <v>0</v>
      </c>
      <c r="C8" s="5" t="s">
        <v>19</v>
      </c>
      <c r="D8" s="9" t="s">
        <v>181</v>
      </c>
    </row>
    <row r="9" customFormat="false" ht="15" hidden="false" customHeight="false" outlineLevel="0" collapsed="false">
      <c r="A9" s="4" t="s">
        <v>183</v>
      </c>
      <c r="B9" s="18" t="n">
        <f aca="false">Stack_CityGap</f>
        <v>1500000</v>
      </c>
      <c r="C9" s="5" t="s">
        <v>19</v>
      </c>
      <c r="D9" s="9" t="s">
        <v>184</v>
      </c>
    </row>
    <row r="10" customFormat="false" ht="15" hidden="false" customHeight="false" outlineLevel="0" collapsed="false">
      <c r="A10" s="4" t="s">
        <v>271</v>
      </c>
      <c r="B10" s="18" t="n">
        <f aca="false">Stack_PublicLandContribution</f>
        <v>750000</v>
      </c>
      <c r="C10" s="5" t="s">
        <v>19</v>
      </c>
      <c r="D10" s="9" t="s">
        <v>188</v>
      </c>
    </row>
    <row r="11" customFormat="false" ht="15" hidden="false" customHeight="false" outlineLevel="0" collapsed="false">
      <c r="A11" s="4" t="s">
        <v>272</v>
      </c>
      <c r="B11" s="18" t="n">
        <f aca="false">Stack_MarvinLandContribution</f>
        <v>700000</v>
      </c>
      <c r="C11" s="4" t="s">
        <v>15</v>
      </c>
      <c r="D11" s="9" t="s">
        <v>273</v>
      </c>
    </row>
    <row r="12" customFormat="false" ht="15" hidden="false" customHeight="false" outlineLevel="0" collapsed="false">
      <c r="A12" s="4" t="s">
        <v>195</v>
      </c>
      <c r="B12" s="18" t="n">
        <f aca="false">Stack_SponsorEquity</f>
        <v>1750000</v>
      </c>
      <c r="C12" s="4" t="s">
        <v>15</v>
      </c>
      <c r="D12" s="9" t="s">
        <v>196</v>
      </c>
    </row>
    <row r="13" customFormat="false" ht="15" hidden="false" customHeight="false" outlineLevel="0" collapsed="false">
      <c r="A13" s="4" t="s">
        <v>198</v>
      </c>
      <c r="B13" s="18" t="n">
        <f aca="false">Stack_LpEquity</f>
        <v>2500000</v>
      </c>
      <c r="C13" s="4" t="s">
        <v>15</v>
      </c>
      <c r="D13" s="9" t="s">
        <v>199</v>
      </c>
    </row>
    <row r="14" customFormat="false" ht="15" hidden="false" customHeight="false" outlineLevel="0" collapsed="false">
      <c r="A14" s="19" t="s">
        <v>274</v>
      </c>
      <c r="B14" s="23" t="n">
        <f aca="false">SUM(B6:B13)</f>
        <v>27200000</v>
      </c>
      <c r="C14" s="24"/>
      <c r="D14" s="24"/>
    </row>
    <row r="15" customFormat="false" ht="15" hidden="false" customHeight="false" outlineLevel="0" collapsed="false">
      <c r="A15" s="3" t="s">
        <v>275</v>
      </c>
      <c r="B15" s="18" t="n">
        <f aca="false">PathB_TDC</f>
        <v>29051000</v>
      </c>
      <c r="C15" s="9" t="s">
        <v>276</v>
      </c>
    </row>
    <row r="16" customFormat="false" ht="15" hidden="false" customHeight="false" outlineLevel="0" collapsed="false">
      <c r="A16" s="19" t="s">
        <v>277</v>
      </c>
      <c r="B16" s="23" t="n">
        <f aca="false">B15-B14</f>
        <v>1851000</v>
      </c>
      <c r="C16" s="24"/>
      <c r="D16" s="20" t="s">
        <v>278</v>
      </c>
    </row>
    <row r="18" customFormat="false" ht="15" hidden="false" customHeight="false" outlineLevel="0" collapsed="false">
      <c r="A18" s="9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5" customFormat="false" ht="15" hidden="false" customHeight="false" outlineLevel="0" collapsed="false">
      <c r="A5" s="2" t="s">
        <v>282</v>
      </c>
    </row>
    <row r="6" customFormat="false" ht="15" hidden="false" customHeight="false" outlineLevel="0" collapsed="false">
      <c r="A6" s="4" t="s">
        <v>283</v>
      </c>
      <c r="B6" s="18" t="n">
        <f aca="false">PathB_StabValue</f>
        <v>25000000</v>
      </c>
    </row>
    <row r="7" customFormat="false" ht="15" hidden="false" customHeight="false" outlineLevel="0" collapsed="false">
      <c r="A7" s="4" t="s">
        <v>284</v>
      </c>
      <c r="B7" s="18" t="n">
        <f aca="false">Stack_SeniorDebt</f>
        <v>16500000</v>
      </c>
    </row>
    <row r="8" customFormat="false" ht="15" hidden="false" customHeight="false" outlineLevel="0" collapsed="false">
      <c r="A8" s="4" t="s">
        <v>285</v>
      </c>
      <c r="B8" s="25" t="n">
        <f aca="false">B6*0.03</f>
        <v>750000</v>
      </c>
    </row>
    <row r="9" customFormat="false" ht="15" hidden="false" customHeight="false" outlineLevel="0" collapsed="false">
      <c r="A9" s="19" t="s">
        <v>286</v>
      </c>
      <c r="B9" s="23" t="n">
        <f aca="false">B6-B7-B8</f>
        <v>7750000</v>
      </c>
    </row>
    <row r="11" customFormat="false" ht="17.35" hidden="false" customHeight="false" outlineLevel="0" collapsed="false">
      <c r="A11" s="1" t="s">
        <v>287</v>
      </c>
    </row>
    <row r="12" customFormat="false" ht="15" hidden="false" customHeight="false" outlineLevel="0" collapsed="false">
      <c r="A12" s="4" t="s">
        <v>288</v>
      </c>
      <c r="B12" s="18" t="n">
        <f aca="false">Stack_MarvinLandContribution</f>
        <v>700000</v>
      </c>
    </row>
    <row r="13" customFormat="false" ht="15" hidden="false" customHeight="false" outlineLevel="0" collapsed="false">
      <c r="A13" s="4" t="s">
        <v>289</v>
      </c>
      <c r="B13" s="11" t="n">
        <v>0</v>
      </c>
    </row>
    <row r="14" customFormat="false" ht="15" hidden="false" customHeight="false" outlineLevel="0" collapsed="false">
      <c r="A14" s="9" t="s">
        <v>290</v>
      </c>
    </row>
    <row r="16" customFormat="false" ht="17.35" hidden="false" customHeight="false" outlineLevel="0" collapsed="false">
      <c r="A16" s="1" t="s">
        <v>291</v>
      </c>
    </row>
    <row r="17" customFormat="false" ht="15" hidden="false" customHeight="false" outlineLevel="0" collapsed="false">
      <c r="A17" s="4" t="s">
        <v>292</v>
      </c>
      <c r="B17" s="18" t="n">
        <f aca="false">Stack_MarvinLandContribution</f>
        <v>700000</v>
      </c>
    </row>
    <row r="18" customFormat="false" ht="15" hidden="false" customHeight="false" outlineLevel="0" collapsed="false">
      <c r="A18" s="4" t="s">
        <v>293</v>
      </c>
      <c r="B18" s="22" t="n">
        <f aca="false">Opt_Option2EquityPct</f>
        <v>0.11</v>
      </c>
    </row>
    <row r="19" customFormat="false" ht="15" hidden="false" customHeight="false" outlineLevel="0" collapsed="false">
      <c r="A19" s="19" t="s">
        <v>294</v>
      </c>
      <c r="B19" s="23" t="n">
        <f aca="false">B18*B9</f>
        <v>852500</v>
      </c>
    </row>
    <row r="20" customFormat="false" ht="15" hidden="false" customHeight="false" outlineLevel="0" collapsed="false">
      <c r="A20" s="9" t="s">
        <v>290</v>
      </c>
    </row>
    <row r="22" customFormat="false" ht="17.35" hidden="false" customHeight="false" outlineLevel="0" collapsed="false">
      <c r="A22" s="1" t="s">
        <v>295</v>
      </c>
    </row>
    <row r="23" customFormat="false" ht="15" hidden="false" customHeight="false" outlineLevel="0" collapsed="false">
      <c r="A23" s="4" t="s">
        <v>296</v>
      </c>
      <c r="B23" s="18" t="n">
        <f aca="false">Stack_MarvinLandContribution</f>
        <v>700000</v>
      </c>
    </row>
    <row r="24" customFormat="false" ht="15" hidden="false" customHeight="false" outlineLevel="0" collapsed="false">
      <c r="A24" s="4" t="s">
        <v>297</v>
      </c>
      <c r="B24" s="22" t="n">
        <f aca="false">Opt_Option3PrefReturnPct</f>
        <v>0.08</v>
      </c>
    </row>
    <row r="25" customFormat="false" ht="15" hidden="false" customHeight="false" outlineLevel="0" collapsed="false">
      <c r="A25" s="4" t="s">
        <v>298</v>
      </c>
      <c r="B25" s="25" t="n">
        <f aca="false">B23*B24</f>
        <v>56000</v>
      </c>
    </row>
    <row r="26" customFormat="false" ht="15" hidden="false" customHeight="false" outlineLevel="0" collapsed="false">
      <c r="A26" s="4" t="s">
        <v>299</v>
      </c>
      <c r="B26" s="22" t="n">
        <f aca="false">Opt_Option3ResidualPct</f>
        <v>0.04</v>
      </c>
    </row>
    <row r="27" customFormat="false" ht="15" hidden="false" customHeight="false" outlineLevel="0" collapsed="false">
      <c r="A27" s="19" t="s">
        <v>300</v>
      </c>
      <c r="B27" s="23" t="n">
        <f aca="false">B26*B9</f>
        <v>310000</v>
      </c>
    </row>
    <row r="30" customFormat="false" ht="17.35" hidden="false" customHeight="false" outlineLevel="0" collapsed="false">
      <c r="A30" s="1" t="s">
        <v>301</v>
      </c>
    </row>
    <row r="31" customFormat="false" ht="15" hidden="false" customHeight="false" outlineLevel="0" collapsed="false">
      <c r="A31" s="2" t="s">
        <v>302</v>
      </c>
    </row>
    <row r="33" customFormat="false" ht="15" hidden="false" customHeight="false" outlineLevel="0" collapsed="false">
      <c r="A33" s="4" t="s">
        <v>303</v>
      </c>
      <c r="B33" s="14" t="n">
        <v>0.15</v>
      </c>
    </row>
    <row r="34" customFormat="false" ht="15" hidden="false" customHeight="false" outlineLevel="0" collapsed="false">
      <c r="A34" s="4" t="s">
        <v>304</v>
      </c>
      <c r="B34" s="14" t="n">
        <v>-0.005</v>
      </c>
    </row>
    <row r="35" customFormat="false" ht="15" hidden="false" customHeight="false" outlineLevel="0" collapsed="false">
      <c r="A35" s="4" t="s">
        <v>305</v>
      </c>
      <c r="B35" s="8" t="n">
        <v>7</v>
      </c>
    </row>
    <row r="36" customFormat="false" ht="15" hidden="false" customHeight="false" outlineLevel="0" collapsed="false">
      <c r="A36" s="4" t="s">
        <v>306</v>
      </c>
      <c r="B36" s="14" t="n">
        <v>0.025</v>
      </c>
    </row>
    <row r="38" customFormat="false" ht="15" hidden="false" customHeight="false" outlineLevel="0" collapsed="false">
      <c r="A38" s="4" t="s">
        <v>307</v>
      </c>
      <c r="B38" s="25" t="n">
        <f aca="false">PathB_StabilizedNoi*(1+B33)</f>
        <v>2300000</v>
      </c>
    </row>
    <row r="39" customFormat="false" ht="15" hidden="false" customHeight="false" outlineLevel="0" collapsed="false">
      <c r="A39" s="4" t="s">
        <v>308</v>
      </c>
      <c r="B39" s="26" t="n">
        <f aca="false">PathB_CapRate+B34</f>
        <v>0.075</v>
      </c>
    </row>
    <row r="40" customFormat="false" ht="15" hidden="false" customHeight="false" outlineLevel="0" collapsed="false">
      <c r="A40" s="4" t="s">
        <v>309</v>
      </c>
      <c r="B40" s="25" t="n">
        <f aca="false">B38*(1+B36)^B35</f>
        <v>2733977.23343689</v>
      </c>
    </row>
    <row r="41" customFormat="false" ht="15" hidden="false" customHeight="false" outlineLevel="0" collapsed="false">
      <c r="A41" s="19" t="s">
        <v>310</v>
      </c>
      <c r="B41" s="23" t="n">
        <f aca="false">B40/B39</f>
        <v>36453029.7791585</v>
      </c>
    </row>
    <row r="42" customFormat="false" ht="15" hidden="false" customHeight="false" outlineLevel="0" collapsed="false">
      <c r="A42" s="4" t="s">
        <v>311</v>
      </c>
      <c r="B42" s="18" t="n">
        <f aca="false">Stack_SeniorDebt</f>
        <v>16500000</v>
      </c>
    </row>
    <row r="43" customFormat="false" ht="15" hidden="false" customHeight="false" outlineLevel="0" collapsed="false">
      <c r="A43" s="4" t="s">
        <v>285</v>
      </c>
      <c r="B43" s="25" t="n">
        <f aca="false">B41*0.03</f>
        <v>1093590.89337476</v>
      </c>
    </row>
    <row r="44" customFormat="false" ht="15" hidden="false" customHeight="false" outlineLevel="0" collapsed="false">
      <c r="A44" s="19" t="s">
        <v>312</v>
      </c>
      <c r="B44" s="23" t="n">
        <f aca="false">B41-B42-B43</f>
        <v>18859438.8857838</v>
      </c>
    </row>
    <row r="46" customFormat="false" ht="15" hidden="false" customHeight="false" outlineLevel="0" collapsed="false">
      <c r="A46" s="19" t="s">
        <v>313</v>
      </c>
      <c r="B46" s="23" t="n">
        <f aca="false">Opt_Option2EquityPct*B44</f>
        <v>2074538.27743621</v>
      </c>
    </row>
    <row r="47" customFormat="false" ht="15" hidden="false" customHeight="false" outlineLevel="0" collapsed="false">
      <c r="A47" s="19" t="s">
        <v>314</v>
      </c>
      <c r="B47" s="23" t="n">
        <f aca="false">Opt_Option3ResidualPct*B44</f>
        <v>754377.55543135</v>
      </c>
    </row>
    <row r="48" customFormat="false" ht="15" hidden="false" customHeight="false" outlineLevel="0" collapsed="false">
      <c r="A48" s="4" t="s">
        <v>315</v>
      </c>
      <c r="B48" s="25" t="n">
        <f aca="false">Stack_MarvinLandContribution*Opt_Option3PrefReturnPct*B35</f>
        <v>392000</v>
      </c>
    </row>
    <row r="49" customFormat="false" ht="15" hidden="false" customHeight="false" outlineLevel="0" collapsed="false">
      <c r="A49" s="19" t="s">
        <v>316</v>
      </c>
      <c r="B49" s="23" t="n">
        <f aca="false">Stack_MarvinLandContribution*Opt_Option3PrefReturnPct*B35+Opt_Option3ResidualPct*B44</f>
        <v>1146377.55543135</v>
      </c>
    </row>
    <row r="51" customFormat="false" ht="17.35" hidden="false" customHeight="false" outlineLevel="0" collapsed="false">
      <c r="A51" s="1" t="s">
        <v>317</v>
      </c>
    </row>
    <row r="52" customFormat="false" ht="15" hidden="false" customHeight="false" outlineLevel="0" collapsed="false">
      <c r="A52" s="6" t="s">
        <v>318</v>
      </c>
      <c r="B52" s="6" t="s">
        <v>269</v>
      </c>
      <c r="C52" s="6" t="s">
        <v>319</v>
      </c>
    </row>
    <row r="53" customFormat="false" ht="15" hidden="false" customHeight="false" outlineLevel="0" collapsed="false">
      <c r="A53" s="4" t="s">
        <v>320</v>
      </c>
      <c r="B53" s="25" t="n">
        <f aca="false">Stack_MarvinLandContribution</f>
        <v>700000</v>
      </c>
      <c r="C53" s="9" t="s">
        <v>321</v>
      </c>
    </row>
    <row r="54" customFormat="false" ht="15" hidden="false" customHeight="false" outlineLevel="0" collapsed="false">
      <c r="A54" s="4" t="s">
        <v>322</v>
      </c>
      <c r="B54" s="25" t="n">
        <f aca="false">Opt_Option2EquityPct*B9</f>
        <v>852500</v>
      </c>
      <c r="C54" s="9" t="s">
        <v>323</v>
      </c>
    </row>
    <row r="55" customFormat="false" ht="15" hidden="false" customHeight="false" outlineLevel="0" collapsed="false">
      <c r="A55" s="4" t="s">
        <v>324</v>
      </c>
      <c r="B55" s="25" t="n">
        <f aca="false">Opt_Option2EquityPct*B44</f>
        <v>2074538.27743621</v>
      </c>
      <c r="C55" s="9" t="s">
        <v>325</v>
      </c>
    </row>
    <row r="56" customFormat="false" ht="15" hidden="false" customHeight="false" outlineLevel="0" collapsed="false">
      <c r="A56" s="4" t="s">
        <v>326</v>
      </c>
      <c r="B56" s="25" t="n">
        <f aca="false">Stack_MarvinLandContribution*Opt_Option3PrefReturnPct*B35+Opt_Option3ResidualPct*B44</f>
        <v>1146377.55543135</v>
      </c>
      <c r="C56" s="9" t="s">
        <v>327</v>
      </c>
    </row>
    <row r="58" customFormat="false" ht="17.35" hidden="false" customHeight="false" outlineLevel="0" collapsed="false">
      <c r="A58" s="1" t="s">
        <v>328</v>
      </c>
    </row>
    <row r="59" customFormat="false" ht="15" hidden="false" customHeight="false" outlineLevel="0" collapsed="false">
      <c r="A59" s="9" t="s">
        <v>22</v>
      </c>
      <c r="B59" s="9" t="s">
        <v>329</v>
      </c>
    </row>
    <row r="60" customFormat="false" ht="15" hidden="false" customHeight="false" outlineLevel="0" collapsed="false">
      <c r="A60" s="9" t="s">
        <v>22</v>
      </c>
      <c r="B60" s="9" t="s">
        <v>330</v>
      </c>
    </row>
    <row r="61" customFormat="false" ht="15" hidden="false" customHeight="false" outlineLevel="0" collapsed="false">
      <c r="A61" s="9" t="s">
        <v>22</v>
      </c>
      <c r="B61" s="9" t="s">
        <v>331</v>
      </c>
    </row>
    <row r="62" customFormat="false" ht="15" hidden="false" customHeight="false" outlineLevel="0" collapsed="false">
      <c r="A62" s="9" t="s">
        <v>22</v>
      </c>
      <c r="B62" s="9" t="s">
        <v>332</v>
      </c>
    </row>
    <row r="63" customFormat="false" ht="15" hidden="false" customHeight="false" outlineLevel="0" collapsed="false">
      <c r="A63" s="9" t="s">
        <v>22</v>
      </c>
      <c r="B63" s="9" t="s">
        <v>333</v>
      </c>
    </row>
    <row r="64" customFormat="false" ht="15" hidden="false" customHeight="false" outlineLevel="0" collapsed="false">
      <c r="A64" s="9" t="s">
        <v>22</v>
      </c>
      <c r="B64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5" customFormat="false" ht="15" hidden="false" customHeight="false" outlineLevel="0" collapsed="false">
      <c r="A5" s="6" t="s">
        <v>337</v>
      </c>
      <c r="B5" s="6" t="s">
        <v>43</v>
      </c>
      <c r="C5" s="6" t="s">
        <v>44</v>
      </c>
      <c r="D5" s="6" t="s">
        <v>45</v>
      </c>
      <c r="E5" s="6" t="s">
        <v>338</v>
      </c>
    </row>
    <row r="6" customFormat="false" ht="15" hidden="false" customHeight="false" outlineLevel="0" collapsed="false">
      <c r="A6" s="4" t="s">
        <v>339</v>
      </c>
      <c r="B6" s="11" t="n">
        <v>100000</v>
      </c>
      <c r="C6" s="11" t="n">
        <v>125000</v>
      </c>
      <c r="D6" s="11" t="n">
        <v>150000</v>
      </c>
      <c r="E6" s="27" t="s">
        <v>340</v>
      </c>
    </row>
    <row r="7" customFormat="false" ht="15" hidden="false" customHeight="false" outlineLevel="0" collapsed="false">
      <c r="A7" s="4" t="s">
        <v>341</v>
      </c>
      <c r="B7" s="11" t="n">
        <v>30000</v>
      </c>
      <c r="C7" s="11" t="n">
        <v>52000</v>
      </c>
      <c r="D7" s="11" t="n">
        <v>75000</v>
      </c>
      <c r="E7" s="27" t="s">
        <v>342</v>
      </c>
    </row>
    <row r="8" customFormat="false" ht="15" hidden="false" customHeight="false" outlineLevel="0" collapsed="false">
      <c r="A8" s="4" t="s">
        <v>343</v>
      </c>
      <c r="B8" s="11" t="n">
        <v>100000</v>
      </c>
      <c r="C8" s="11" t="n">
        <v>150000</v>
      </c>
      <c r="D8" s="11" t="n">
        <v>200000</v>
      </c>
      <c r="E8" s="27" t="s">
        <v>344</v>
      </c>
    </row>
    <row r="9" customFormat="false" ht="15" hidden="false" customHeight="false" outlineLevel="0" collapsed="false">
      <c r="A9" s="4" t="s">
        <v>345</v>
      </c>
      <c r="B9" s="11" t="n">
        <v>50000</v>
      </c>
      <c r="C9" s="11" t="n">
        <v>75000</v>
      </c>
      <c r="D9" s="11" t="n">
        <v>100000</v>
      </c>
      <c r="E9" s="27" t="s">
        <v>346</v>
      </c>
    </row>
    <row r="10" customFormat="false" ht="15" hidden="false" customHeight="false" outlineLevel="0" collapsed="false">
      <c r="A10" s="4" t="s">
        <v>347</v>
      </c>
      <c r="B10" s="11" t="n">
        <v>40000</v>
      </c>
      <c r="C10" s="11" t="n">
        <v>57000</v>
      </c>
      <c r="D10" s="11" t="n">
        <v>75000</v>
      </c>
      <c r="E10" s="27" t="s">
        <v>348</v>
      </c>
    </row>
    <row r="11" customFormat="false" ht="15" hidden="false" customHeight="false" outlineLevel="0" collapsed="false">
      <c r="A11" s="4" t="s">
        <v>349</v>
      </c>
      <c r="B11" s="11" t="n">
        <v>40000</v>
      </c>
      <c r="C11" s="11" t="n">
        <v>50000</v>
      </c>
      <c r="D11" s="11" t="n">
        <v>60000</v>
      </c>
      <c r="E11" s="27" t="s">
        <v>350</v>
      </c>
    </row>
    <row r="12" customFormat="false" ht="15" hidden="false" customHeight="false" outlineLevel="0" collapsed="false">
      <c r="A12" s="4" t="s">
        <v>351</v>
      </c>
      <c r="B12" s="11" t="n">
        <v>75000</v>
      </c>
      <c r="C12" s="11" t="n">
        <v>112000</v>
      </c>
      <c r="D12" s="11" t="n">
        <v>150000</v>
      </c>
      <c r="E12" s="27" t="s">
        <v>352</v>
      </c>
    </row>
    <row r="13" customFormat="false" ht="15" hidden="false" customHeight="false" outlineLevel="0" collapsed="false">
      <c r="A13" s="4" t="s">
        <v>353</v>
      </c>
      <c r="B13" s="11" t="n">
        <v>150000</v>
      </c>
      <c r="C13" s="11" t="n">
        <v>225000</v>
      </c>
      <c r="D13" s="11" t="n">
        <v>300000</v>
      </c>
      <c r="E13" s="27" t="s">
        <v>354</v>
      </c>
    </row>
    <row r="14" customFormat="false" ht="15" hidden="false" customHeight="false" outlineLevel="0" collapsed="false">
      <c r="A14" s="19" t="s">
        <v>355</v>
      </c>
      <c r="B14" s="23" t="n">
        <f aca="false">SUM(B6:B13)</f>
        <v>585000</v>
      </c>
      <c r="C14" s="23" t="n">
        <f aca="false">SUM(C6:C13)</f>
        <v>846000</v>
      </c>
      <c r="D14" s="23" t="n">
        <f aca="false">SUM(D6:D13)</f>
        <v>1110000</v>
      </c>
      <c r="E14" s="24"/>
    </row>
    <row r="16" customFormat="false" ht="15" hidden="false" customHeight="false" outlineLevel="0" collapsed="false">
      <c r="A16" s="4" t="s">
        <v>356</v>
      </c>
      <c r="C16" s="28" t="n">
        <f aca="false">PreDev_TimelineMonths</f>
        <v>16.5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2026-04-14T19:55:42Z</dcterms:created>
  <dc:creator>openpyxl</dc:creator>
  <dc:description/>
  <dc:language>en-US</dc:language>
  <cp:lastModifiedBy/>
  <dcterms:modified xsi:type="dcterms:W3CDTF">2026-04-14T19:55:42Z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